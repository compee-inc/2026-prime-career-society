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" state="visible" r:id="rId4"/>
    <sheet sheetId="2" name="참가자입력" state="visible" r:id="rId5"/>
    <sheet sheetId="3" name="상호선택" state="visible" r:id="rId6"/>
    <sheet sheetId="4" name="매칭계산" state="visible" r:id="rId7"/>
    <sheet sheetId="5" name="최종결과" state="visible" r:id="rId8"/>
    <sheet sheetId="6" name="운영자최종검토" state="visible" r:id="rId9"/>
  </sheets>
  <calcPr calcId="171027"/>
</workbook>
</file>

<file path=xl/sharedStrings.xml><?xml version="1.0" encoding="utf-8"?>
<sst xmlns="http://schemas.openxmlformats.org/spreadsheetml/2006/main" count="1020" uniqueCount="182">
  <si>
    <t>PRIME CAREER SOCIETY</t>
  </si>
  <si>
    <t>7 : 7  MATCHING MANAGEMENT</t>
  </si>
  <si>
    <t>■  사용 순서</t>
  </si>
  <si>
    <t xml:space="preserve">  ①  [참가자입력] 시트에 참가자 이름, 나이, 직업을 입력합니다.</t>
  </si>
  <si>
    <t xml:space="preserve">  ②  각 참가자의 1순위 / 2순위 / 3순위 선택을 입력합니다.</t>
  </si>
  <si>
    <t xml:space="preserve">  ③  [상호선택] 시트에서 상호 선택 관계를 확인합니다. (자동 계산)</t>
  </si>
  <si>
    <t xml:space="preserve">  ④  [매칭계산] 시트에서 전체 최적화 매칭 추천 결과를 확인합니다.</t>
  </si>
  <si>
    <t xml:space="preserve">  ⑤  [최종결과] 시트에서 참가자별 최종 매칭 현황을 확인합니다.</t>
  </si>
  <si>
    <t xml:space="preserve">  ⑥  [운영자최종검토] 시트에서 승인 및 연락처 공유 동의를 관리합니다.</t>
  </si>
  <si>
    <t>■  운영 원칙</t>
  </si>
  <si>
    <t xml:space="preserve">  •  1인 최대 3명 선택</t>
  </si>
  <si>
    <t>참가자는 이성 중 최대 3명(1/2/3순위)을 선택합니다.</t>
  </si>
  <si>
    <t xml:space="preserve">  •  1인 최대 2명 매칭</t>
  </si>
  <si>
    <t>최종 매칭은 1인당 최대 2명으로 제한됩니다.</t>
  </si>
  <si>
    <t xml:space="preserve">  •  상호 선택만 매칭</t>
  </si>
  <si>
    <t>한쪽만 선택한 경우 매칭 후보에서 제외됩니다.</t>
  </si>
  <si>
    <t xml:space="preserve">  •  순위 기반 점수</t>
  </si>
  <si>
    <t>1순위=3점 / 2순위=2점 / 3순위=1점 — 쌍방 합산</t>
  </si>
  <si>
    <t xml:space="preserve">  •  운영자 최종 검토 필수</t>
  </si>
  <si>
    <t>자동 계산 결과는 반드시 운영자가 확인 후 확정합니다.</t>
  </si>
  <si>
    <t xml:space="preserve">  •  연락처 별도 동의</t>
  </si>
  <si>
    <t>매칭 확정 후 양측 동의 확인 후에만 연락처를 공유합니다.</t>
  </si>
  <si>
    <t>■  연락처 공유 상태 코드</t>
  </si>
  <si>
    <t>MATCHED</t>
  </si>
  <si>
    <t>상호 선택 확인 완료 — 운영자 검토 대기</t>
  </si>
  <si>
    <t>PENDING CONSENT</t>
  </si>
  <si>
    <t>운영자 승인 완료 — 연락처 공유 동의 확인 중</t>
  </si>
  <si>
    <t>BOTH CONSENTED</t>
  </si>
  <si>
    <t>양측 모두 연락처 공유 동의 완료</t>
  </si>
  <si>
    <t>ONE SIDE DECLINED</t>
  </si>
  <si>
    <t>한쪽 연락처 공유 거절</t>
  </si>
  <si>
    <t>CONTACT SHARED</t>
  </si>
  <si>
    <t>연락처 공유 완료</t>
  </si>
  <si>
    <t>© PRIME CAREER SOCIETY  |  CONFIDENTIAL  |  운영 전용 문서</t>
  </si>
  <si>
    <t>PRIME CAREER SOCIETY  —  참가자 정보 입력</t>
  </si>
  <si>
    <t xml:space="preserve">  ※ 노란색 셀 = 직접 입력  |  회색 셀 = 자동 생성  |  1순위→2순위→3순위 순서로 입력 (빈칸 가능)</t>
  </si>
  <si>
    <t xml:space="preserve">  ▶  남자 참가자 (M1 ~ M7)</t>
  </si>
  <si>
    <t>성별</t>
  </si>
  <si>
    <t>ID</t>
  </si>
  <si>
    <t>이름</t>
  </si>
  <si>
    <t>나이</t>
  </si>
  <si>
    <t>직업</t>
  </si>
  <si>
    <t>1순위</t>
  </si>
  <si>
    <t>2순위</t>
  </si>
  <si>
    <t>3순위</t>
  </si>
  <si>
    <t>오류 체크</t>
  </si>
  <si>
    <t>남</t>
  </si>
  <si>
    <t>M1</t>
  </si>
  <si>
    <t>김준혁</t>
  </si>
  <si>
    <t>금융권</t>
  </si>
  <si>
    <t>W1</t>
  </si>
  <si>
    <t>W2</t>
  </si>
  <si>
    <t>W3</t>
  </si>
  <si>
    <t>M2</t>
  </si>
  <si>
    <t>이승민</t>
  </si>
  <si>
    <t>대기업</t>
  </si>
  <si>
    <t>W4</t>
  </si>
  <si>
    <t>W5</t>
  </si>
  <si>
    <t>M3</t>
  </si>
  <si>
    <t>박지호</t>
  </si>
  <si>
    <t>IT개발</t>
  </si>
  <si>
    <t>W6</t>
  </si>
  <si>
    <t>M4</t>
  </si>
  <si>
    <t>정우진</t>
  </si>
  <si>
    <t>의사</t>
  </si>
  <si>
    <t>W7</t>
  </si>
  <si>
    <t>M5</t>
  </si>
  <si>
    <t>최현수</t>
  </si>
  <si>
    <t>스타트업</t>
  </si>
  <si>
    <t>M6</t>
  </si>
  <si>
    <t>강도현</t>
  </si>
  <si>
    <t>변호사</t>
  </si>
  <si>
    <t>M7</t>
  </si>
  <si>
    <t>윤재원</t>
  </si>
  <si>
    <t>연구원</t>
  </si>
  <si>
    <t xml:space="preserve">  ▶  여자 참가자 (W1 ~ W7)</t>
  </si>
  <si>
    <t>여</t>
  </si>
  <si>
    <t>김서연</t>
  </si>
  <si>
    <t>마케팅</t>
  </si>
  <si>
    <t>이지현</t>
  </si>
  <si>
    <t>디자이너</t>
  </si>
  <si>
    <t>박민지</t>
  </si>
  <si>
    <t>회계사</t>
  </si>
  <si>
    <t>정수아</t>
  </si>
  <si>
    <t>IT기획</t>
  </si>
  <si>
    <t>최예린</t>
  </si>
  <si>
    <t>교사</t>
  </si>
  <si>
    <t>강하은</t>
  </si>
  <si>
    <t>간호사</t>
  </si>
  <si>
    <t>윤채원</t>
  </si>
  <si>
    <t>대학원생</t>
  </si>
  <si>
    <t xml:space="preserve">  ※ 이 파일의 테스트 데이터는 실제 운영 전에 삭제하세요.  (이름·나이·직업·순위 모두 교체)</t>
  </si>
  <si>
    <t>상호선택 분석</t>
  </si>
  <si>
    <t>■  상호선택 후보  (서로 선택한 쌍만 표시 — 점수 높은 순)</t>
  </si>
  <si>
    <t>남자 ID</t>
  </si>
  <si>
    <t>여자 ID</t>
  </si>
  <si>
    <t>남 → 여 순위</t>
  </si>
  <si>
    <t>여 → 남 순위</t>
  </si>
  <si>
    <t>남 점수</t>
  </si>
  <si>
    <t>여 점수</t>
  </si>
  <si>
    <t>총 점수</t>
  </si>
  <si>
    <t>상호선택</t>
  </si>
  <si>
    <t>✓ YES</t>
  </si>
  <si>
    <t>■  전체 선택 현황  (모든 조합 — 상호선택 아닌 쌍 포함)</t>
  </si>
  <si>
    <t>-</t>
  </si>
  <si>
    <t>—</t>
  </si>
  <si>
    <t>최적 매칭 계산</t>
  </si>
  <si>
    <t xml:space="preserve">  ※ 알고리즘: 그리디 b-매칭 (상호선택 쌍을 점수 내림차순 정렬 후, 양쪽 모두 2명 미만인 경우에만 배정)</t>
  </si>
  <si>
    <t>■  상호선택 후보 목록  (총 21쌍 — 점수 내림차순)</t>
  </si>
  <si>
    <t>남 순위</t>
  </si>
  <si>
    <t>여 순위</t>
  </si>
  <si>
    <t>매칭 배정</t>
  </si>
  <si>
    <t>★ 최종 매칭</t>
  </si>
  <si>
    <t>— 제외</t>
  </si>
  <si>
    <t>■  매칭 제외 사유  (배정 못 받은 상호선택 쌍)</t>
  </si>
  <si>
    <t>제외 이유</t>
  </si>
  <si>
    <t>M1, W3 모두 2명 제한</t>
  </si>
  <si>
    <t>M3 2명 제한 도달</t>
  </si>
  <si>
    <t>M4 2명 제한 도달</t>
  </si>
  <si>
    <t>M6, W1 모두 2명 제한</t>
  </si>
  <si>
    <t>W4 2명 제한 도달</t>
  </si>
  <si>
    <t>W7 2명 제한 도달</t>
  </si>
  <si>
    <t>M2, W5 모두 2명 제한</t>
  </si>
  <si>
    <t>M5, W2 모두 2명 제한</t>
  </si>
  <si>
    <t>최종 매칭 결과</t>
  </si>
  <si>
    <t>■  최종 매칭 쌍  (13쌍 / 총 점수 합계: 62점)</t>
  </si>
  <si>
    <t>순위 조합</t>
  </si>
  <si>
    <t>1순위 ↔ 1순위</t>
  </si>
  <si>
    <t>1순위 ↔ 2순위</t>
  </si>
  <si>
    <t>2순위 ↔ 1순위</t>
  </si>
  <si>
    <t>3순위 ↔ 1순위</t>
  </si>
  <si>
    <t>2순위 ↔ 2순위</t>
  </si>
  <si>
    <t>2순위 ↔ 3순위</t>
  </si>
  <si>
    <t>3순위 ↔ 3순위</t>
  </si>
  <si>
    <t>■  참가자별 최종 매칭 수  — 남자</t>
  </si>
  <si>
    <t>최종 매칭 수</t>
  </si>
  <si>
    <t>매칭 상대</t>
  </si>
  <si>
    <t>2명</t>
  </si>
  <si>
    <t>W1, W2</t>
  </si>
  <si>
    <t>W1, W4</t>
  </si>
  <si>
    <t>W2, W5</t>
  </si>
  <si>
    <t>W3, W7</t>
  </si>
  <si>
    <t>W4, W7</t>
  </si>
  <si>
    <t>W5, W3</t>
  </si>
  <si>
    <t>1명</t>
  </si>
  <si>
    <t>■  참가자별 최종 매칭 수  — 여자</t>
  </si>
  <si>
    <t>M2, M1</t>
  </si>
  <si>
    <t>M1, M3</t>
  </si>
  <si>
    <t>M4, M6</t>
  </si>
  <si>
    <t>M5, M2</t>
  </si>
  <si>
    <t>M3, M6</t>
  </si>
  <si>
    <t>M4, M5</t>
  </si>
  <si>
    <t>■  알고리즘 검증</t>
  </si>
  <si>
    <t>모든 최종 매칭이 상호선택인가?</t>
  </si>
  <si>
    <t>✓ 통과</t>
  </si>
  <si>
    <t>모든 참가자 최종 매칭 ≤ 2명인가?</t>
  </si>
  <si>
    <t>총 매칭 쌍 수</t>
  </si>
  <si>
    <t>13쌍</t>
  </si>
  <si>
    <t>총 매칭 점수 합계</t>
  </si>
  <si>
    <t>62점</t>
  </si>
  <si>
    <t>운영자 최종 검토  &amp;  연락처 공유 동의 관리</t>
  </si>
  <si>
    <t xml:space="preserve">  ※ 노란색 셀에만 직접 입력하세요.  운영자 승인 / 연락처 공유 동의 열에 YES 또는 NO를 입력합니다.</t>
  </si>
  <si>
    <t>남자</t>
  </si>
  <si>
    <t>여자</t>
  </si>
  <si>
    <t>총점</t>
  </si>
  <si>
    <t>자동추천</t>
  </si>
  <si>
    <t xml:space="preserve">운영자 승인
(YES/NO)</t>
  </si>
  <si>
    <t xml:space="preserve">연락처 동의
남자</t>
  </si>
  <si>
    <t xml:space="preserve">연락처 동의
여자</t>
  </si>
  <si>
    <t>최종 공유 상태</t>
  </si>
  <si>
    <t>메모</t>
  </si>
  <si>
    <t/>
  </si>
  <si>
    <t>■  집계 요약  (아래 수치는 자동 갱신됨)</t>
  </si>
  <si>
    <t>전체 추천 매칭 수</t>
  </si>
  <si>
    <t>운영자 승인 수</t>
  </si>
  <si>
    <t>양측 동의 완료</t>
  </si>
  <si>
    <t>한쪽 거절</t>
  </si>
  <si>
    <t>■  운영 지침</t>
  </si>
  <si>
    <t xml:space="preserve">  ① 자동추천 결과를 검토한 후 [운영자 승인] 열에 YES 또는 NO를 입력합니다.</t>
  </si>
  <si>
    <t xml:space="preserve">  ② 운영자 승인이 YES인 쌍만 참가자에게 매칭 사실을 통보합니다.</t>
  </si>
  <si>
    <t xml:space="preserve">  ③ 참가자 양측이 연락처 공유에 동의한 경우에만 연락처를 전달합니다.</t>
  </si>
  <si>
    <t xml:space="preserve">  ④ [최종 공유 상태] 열은 자동으로 업데이트됩니다. 직접 수정하지 마세요.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</si>
</sst>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세&quot;"/>
  </numFmts>
  <fonts count="30" x14ac:knownFonts="1">
    <font>
      <color theme="1"/>
      <family val="2"/>
      <scheme val="minor"/>
      <sz val="11"/>
      <name val="Calibri"/>
    </font>
    <font>
      <b/>
      <color rgb="FFA8882A"/>
      <sz val="22"/>
      <name val="Calibri"/>
    </font>
    <font>
      <b/>
      <color rgb="FFF5E6C8"/>
      <sz val="14"/>
      <name val="Calibri"/>
    </font>
    <font>
      <b/>
      <color rgb="FF2C2C2C"/>
      <sz val="12"/>
      <name val="Calibri"/>
    </font>
    <font>
      <color rgb="FF1A1A1A"/>
      <sz val="11"/>
      <name val="Calibri"/>
    </font>
    <font>
      <b/>
      <color rgb="FFA8882A"/>
      <sz val="10"/>
      <name val="Calibri"/>
    </font>
    <font>
      <color rgb="FF1A1A1A"/>
      <sz val="10"/>
      <name val="Calibri"/>
    </font>
    <font>
      <b/>
      <color rgb="FF1A1A1A"/>
      <sz val="10"/>
      <name val="Calibri"/>
    </font>
    <font>
      <i/>
      <color rgb="FF6A6A6A"/>
      <sz val="9"/>
      <name val="Calibri"/>
    </font>
    <font>
      <b/>
      <color rgb="FFF5E6C8"/>
      <sz val="16"/>
      <name val="Calibri"/>
    </font>
    <font>
      <color rgb="FF484848"/>
      <sz val="9"/>
      <name val="Calibri"/>
    </font>
    <font>
      <b/>
      <color rgb="FFF5E6C8"/>
      <sz val="11"/>
      <name val="Calibri"/>
    </font>
    <font>
      <b/>
      <color rgb="FFFFFFFF"/>
      <sz val="10"/>
      <name val="Calibri"/>
    </font>
    <font>
      <color rgb="FF6A6A6A"/>
      <sz val="10"/>
      <name val="Calibri"/>
    </font>
    <font>
      <b/>
      <color rgb="FF2C2C2C"/>
      <sz val="11"/>
      <name val="Calibri"/>
    </font>
    <font>
      <color rgb="FF484848"/>
      <sz val="11"/>
      <name val="Calibri"/>
    </font>
    <font>
      <color rgb="FF6A6A6A"/>
      <sz val="9"/>
      <name val="Calibri"/>
    </font>
    <font>
      <b/>
      <color rgb="FFA8882A"/>
      <sz val="11"/>
      <name val="Calibri"/>
    </font>
    <font>
      <b/>
      <color rgb="FF2C2C2C"/>
      <sz val="10"/>
      <name val="Calibri"/>
    </font>
    <font>
      <b/>
      <color rgb="FF1A1A1A"/>
      <sz val="12"/>
      <name val="Calibri"/>
    </font>
    <font>
      <color rgb="FF484848"/>
      <sz val="10"/>
      <name val="Calibri"/>
    </font>
    <font>
      <color rgb="FF2C2C2C"/>
      <sz val="10"/>
      <name val="Calibri"/>
    </font>
    <font>
      <color rgb="FF2C2C2C"/>
      <sz val="11"/>
      <name val="Calibri"/>
    </font>
    <font>
      <color rgb="FFA8882A"/>
      <sz val="11"/>
      <name val="Calibri"/>
    </font>
    <font>
      <b/>
      <color rgb="FF2C2C2C"/>
      <sz val="13"/>
      <name val="Calibri"/>
    </font>
    <font>
      <b/>
      <color rgb="FF006400"/>
      <sz val="14"/>
      <name val="Calibri"/>
    </font>
    <font>
      <b/>
      <color rgb="FF2C2C2C"/>
      <sz val="14"/>
      <name val="Calibri"/>
    </font>
    <font>
      <b/>
      <color rgb="FF006400"/>
      <sz val="12"/>
      <name val="Calibri"/>
    </font>
    <font>
      <b/>
      <color rgb="FFF5E6C8"/>
      <sz val="15"/>
      <name val="Calibri"/>
    </font>
    <font>
      <b/>
      <color rgb="FFA8882A"/>
      <sz val="12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FFF0"/>
      </patternFill>
    </fill>
    <fill>
      <patternFill patternType="solid">
        <fgColor rgb="FF2C2C2C"/>
      </patternFill>
    </fill>
    <fill>
      <patternFill patternType="solid">
        <fgColor rgb="FFC9A84C"/>
      </patternFill>
    </fill>
    <fill>
      <patternFill patternType="solid">
        <fgColor rgb="FFF5E6C8"/>
      </patternFill>
    </fill>
    <fill>
      <patternFill patternType="solid">
        <fgColor rgb="FFFDFDF5"/>
      </patternFill>
    </fill>
    <fill>
      <patternFill patternType="solid">
        <fgColor rgb="FFA5D6A7"/>
      </patternFill>
    </fill>
    <fill>
      <patternFill patternType="solid">
        <fgColor rgb="FFFFF9E6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FBF3E4"/>
      </patternFill>
    </fill>
    <fill>
      <patternFill patternType="solid">
        <fgColor rgb="FF484848"/>
      </patternFill>
    </fill>
    <fill>
      <patternFill patternType="solid">
        <fgColor rgb="FFF5F5F5"/>
      </patternFill>
    </fill>
    <fill>
      <patternFill patternType="solid">
        <fgColor rgb="FFFEFEF2"/>
      </patternFill>
    </fill>
    <fill>
      <patternFill patternType="solid">
        <fgColor rgb="FFFFF3E0"/>
      </patternFill>
    </fill>
    <fill>
      <patternFill patternType="solid">
        <fgColor rgb="FFFFF8F0"/>
      </patternFill>
    </fill>
  </fills>
  <borders count="4">
    <border>
      <left/>
      <right/>
      <top/>
      <bottom/>
      <diagonal/>
    </border>
    <border>
      <left/>
      <right/>
      <top/>
      <bottom style="thin">
        <color rgb="FF484848"/>
      </bottom>
      <diagonal/>
    </border>
    <border>
      <left style="thin">
        <color rgb="FF484848"/>
      </left>
      <right style="thin">
        <color rgb="FF484848"/>
      </right>
      <top style="thin">
        <color rgb="FF484848"/>
      </top>
      <bottom style="thin">
        <color rgb="FF484848"/>
      </bottom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2" fillId="13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left" vertical="center"/>
    </xf>
    <xf numFmtId="164" fontId="4" fillId="15" borderId="2" xfId="0" applyNumberFormat="1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left" vertical="center"/>
    </xf>
    <xf numFmtId="0" fontId="10" fillId="16" borderId="0" xfId="0" applyFont="1" applyFill="1" applyAlignment="1">
      <alignment horizontal="left" vertical="center"/>
    </xf>
    <xf numFmtId="0" fontId="1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0" fillId="16" borderId="2" xfId="0" applyFont="1" applyFill="1" applyBorder="1" applyAlignment="1">
      <alignment horizontal="left" vertical="center"/>
    </xf>
    <xf numFmtId="0" fontId="24" fillId="7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27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27" fillId="9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left" vertical="center"/>
    </xf>
    <xf numFmtId="0" fontId="21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12" fillId="13" borderId="2" xfId="0" applyFont="1" applyFill="1" applyBorder="1" applyAlignment="1">
      <alignment horizontal="center" vertical="center" wrapText="1"/>
    </xf>
    <xf numFmtId="0" fontId="29" fillId="14" borderId="2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38" customWidth="1"/>
    <col min="4" max="8" width="14" customWidth="1"/>
  </cols>
  <sheetData>
    <row r="1" ht="15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55" customHeight="1" spans="1:9" x14ac:dyDescent="0.25">
      <c r="A2" s="1"/>
      <c r="B2" s="2" t="s">
        <v>0</v>
      </c>
      <c r="C2" s="2"/>
      <c r="D2" s="2"/>
      <c r="E2" s="2"/>
      <c r="F2" s="2"/>
      <c r="G2" s="2"/>
      <c r="H2" s="1"/>
      <c r="I2" s="1"/>
    </row>
    <row r="3" ht="28" customHeight="1" spans="1:9" x14ac:dyDescent="0.25">
      <c r="A3" s="1"/>
      <c r="B3" s="3" t="s">
        <v>1</v>
      </c>
      <c r="C3" s="3"/>
      <c r="D3" s="3"/>
      <c r="E3" s="3"/>
      <c r="F3" s="3"/>
      <c r="G3" s="3"/>
      <c r="H3" s="1"/>
      <c r="I3" s="1"/>
    </row>
    <row r="4" ht="4" customHeight="1" spans="1:9" x14ac:dyDescent="0.25">
      <c r="A4" s="1"/>
      <c r="B4" s="4"/>
      <c r="C4" s="4"/>
      <c r="D4" s="4"/>
      <c r="E4" s="4"/>
      <c r="F4" s="4"/>
      <c r="G4" s="4"/>
      <c r="H4" s="1"/>
      <c r="I4" s="1"/>
    </row>
    <row r="5" ht="10" customHeight="1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ht="26" customHeight="1" spans="1:9" x14ac:dyDescent="0.25">
      <c r="A6" s="1"/>
      <c r="B6" s="5" t="s">
        <v>2</v>
      </c>
      <c r="C6" s="5"/>
      <c r="D6" s="5"/>
      <c r="E6" s="5"/>
      <c r="F6" s="5"/>
      <c r="G6" s="5"/>
      <c r="H6" s="1"/>
      <c r="I6" s="1"/>
    </row>
    <row r="7" ht="22" customHeight="1" spans="1:9" x14ac:dyDescent="0.25">
      <c r="A7" s="1"/>
      <c r="B7" s="6" t="s">
        <v>3</v>
      </c>
      <c r="C7" s="6"/>
      <c r="D7" s="6"/>
      <c r="E7" s="6"/>
      <c r="F7" s="6"/>
      <c r="G7" s="6"/>
      <c r="H7" s="1"/>
      <c r="I7" s="1"/>
    </row>
    <row r="8" ht="22" customHeight="1" spans="1:9" x14ac:dyDescent="0.25">
      <c r="A8" s="1"/>
      <c r="B8" s="6" t="s">
        <v>4</v>
      </c>
      <c r="C8" s="6"/>
      <c r="D8" s="6"/>
      <c r="E8" s="6"/>
      <c r="F8" s="6"/>
      <c r="G8" s="6"/>
      <c r="H8" s="1"/>
      <c r="I8" s="1"/>
    </row>
    <row r="9" ht="22" customHeight="1" spans="1:9" x14ac:dyDescent="0.25">
      <c r="A9" s="1"/>
      <c r="B9" s="6" t="s">
        <v>5</v>
      </c>
      <c r="C9" s="6"/>
      <c r="D9" s="6"/>
      <c r="E9" s="6"/>
      <c r="F9" s="6"/>
      <c r="G9" s="6"/>
      <c r="H9" s="1"/>
      <c r="I9" s="1"/>
    </row>
    <row r="10" ht="22" customHeight="1" spans="1:9" x14ac:dyDescent="0.25">
      <c r="A10" s="1"/>
      <c r="B10" s="6" t="s">
        <v>6</v>
      </c>
      <c r="C10" s="6"/>
      <c r="D10" s="6"/>
      <c r="E10" s="6"/>
      <c r="F10" s="6"/>
      <c r="G10" s="6"/>
      <c r="H10" s="1"/>
      <c r="I10" s="1"/>
    </row>
    <row r="11" ht="22" customHeight="1" spans="1:9" x14ac:dyDescent="0.25">
      <c r="A11" s="1"/>
      <c r="B11" s="6" t="s">
        <v>7</v>
      </c>
      <c r="C11" s="6"/>
      <c r="D11" s="6"/>
      <c r="E11" s="6"/>
      <c r="F11" s="6"/>
      <c r="G11" s="6"/>
      <c r="H11" s="1"/>
      <c r="I11" s="1"/>
    </row>
    <row r="12" ht="22" customHeight="1" spans="1:9" x14ac:dyDescent="0.25">
      <c r="A12" s="1"/>
      <c r="B12" s="6" t="s">
        <v>8</v>
      </c>
      <c r="C12" s="6"/>
      <c r="D12" s="6"/>
      <c r="E12" s="6"/>
      <c r="F12" s="6"/>
      <c r="G12" s="6"/>
      <c r="H12" s="1"/>
      <c r="I12" s="1"/>
    </row>
    <row r="13" ht="10" customHeight="1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ht="26" customHeight="1" spans="1:9" x14ac:dyDescent="0.25">
      <c r="A14" s="1"/>
      <c r="B14" s="5" t="s">
        <v>9</v>
      </c>
      <c r="C14" s="5"/>
      <c r="D14" s="5"/>
      <c r="E14" s="5"/>
      <c r="F14" s="5"/>
      <c r="G14" s="5"/>
      <c r="H14" s="1"/>
      <c r="I14" s="1"/>
    </row>
    <row r="15" ht="22" customHeight="1" spans="1:9" x14ac:dyDescent="0.25">
      <c r="A15" s="1"/>
      <c r="B15" s="7" t="s">
        <v>10</v>
      </c>
      <c r="C15" s="8" t="s">
        <v>11</v>
      </c>
      <c r="D15" s="8"/>
      <c r="E15" s="8"/>
      <c r="F15" s="8"/>
      <c r="G15" s="8"/>
      <c r="H15" s="1"/>
      <c r="I15" s="1"/>
    </row>
    <row r="16" ht="22" customHeight="1" spans="1:9" x14ac:dyDescent="0.25">
      <c r="A16" s="1"/>
      <c r="B16" s="7" t="s">
        <v>12</v>
      </c>
      <c r="C16" s="8" t="s">
        <v>13</v>
      </c>
      <c r="D16" s="8"/>
      <c r="E16" s="8"/>
      <c r="F16" s="8"/>
      <c r="G16" s="8"/>
      <c r="H16" s="1"/>
      <c r="I16" s="1"/>
    </row>
    <row r="17" ht="22" customHeight="1" spans="1:9" x14ac:dyDescent="0.25">
      <c r="A17" s="1"/>
      <c r="B17" s="7" t="s">
        <v>14</v>
      </c>
      <c r="C17" s="8" t="s">
        <v>15</v>
      </c>
      <c r="D17" s="8"/>
      <c r="E17" s="8"/>
      <c r="F17" s="8"/>
      <c r="G17" s="8"/>
      <c r="H17" s="1"/>
      <c r="I17" s="1"/>
    </row>
    <row r="18" ht="22" customHeight="1" spans="1:9" x14ac:dyDescent="0.25">
      <c r="A18" s="1"/>
      <c r="B18" s="7" t="s">
        <v>16</v>
      </c>
      <c r="C18" s="8" t="s">
        <v>17</v>
      </c>
      <c r="D18" s="8"/>
      <c r="E18" s="8"/>
      <c r="F18" s="8"/>
      <c r="G18" s="8"/>
      <c r="H18" s="1"/>
      <c r="I18" s="1"/>
    </row>
    <row r="19" ht="22" customHeight="1" spans="1:9" x14ac:dyDescent="0.25">
      <c r="A19" s="1"/>
      <c r="B19" s="7" t="s">
        <v>18</v>
      </c>
      <c r="C19" s="8" t="s">
        <v>19</v>
      </c>
      <c r="D19" s="8"/>
      <c r="E19" s="8"/>
      <c r="F19" s="8"/>
      <c r="G19" s="8"/>
      <c r="H19" s="1"/>
      <c r="I19" s="1"/>
    </row>
    <row r="20" ht="22" customHeight="1" spans="1:9" x14ac:dyDescent="0.25">
      <c r="A20" s="1"/>
      <c r="B20" s="7" t="s">
        <v>20</v>
      </c>
      <c r="C20" s="8" t="s">
        <v>21</v>
      </c>
      <c r="D20" s="8"/>
      <c r="E20" s="8"/>
      <c r="F20" s="8"/>
      <c r="G20" s="8"/>
      <c r="H20" s="1"/>
      <c r="I20" s="1"/>
    </row>
    <row r="21" ht="10" customHeight="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ht="26" customHeight="1" spans="1:9" x14ac:dyDescent="0.25">
      <c r="A22" s="1"/>
      <c r="B22" s="5" t="s">
        <v>22</v>
      </c>
      <c r="C22" s="5"/>
      <c r="D22" s="5"/>
      <c r="E22" s="5"/>
      <c r="F22" s="5"/>
      <c r="G22" s="5"/>
      <c r="H22" s="1"/>
      <c r="I22" s="1"/>
    </row>
    <row r="23" ht="22" customHeight="1" spans="1:9" x14ac:dyDescent="0.25">
      <c r="A23" s="1"/>
      <c r="B23" s="9" t="s">
        <v>23</v>
      </c>
      <c r="C23" s="8" t="s">
        <v>24</v>
      </c>
      <c r="D23" s="8"/>
      <c r="E23" s="8"/>
      <c r="F23" s="8"/>
      <c r="G23" s="8"/>
      <c r="H23" s="1"/>
      <c r="I23" s="1"/>
    </row>
    <row r="24" ht="22" customHeight="1" spans="1:9" x14ac:dyDescent="0.25">
      <c r="A24" s="1"/>
      <c r="B24" s="10" t="s">
        <v>25</v>
      </c>
      <c r="C24" s="8" t="s">
        <v>26</v>
      </c>
      <c r="D24" s="8"/>
      <c r="E24" s="8"/>
      <c r="F24" s="8"/>
      <c r="G24" s="8"/>
      <c r="H24" s="1"/>
      <c r="I24" s="1"/>
    </row>
    <row r="25" ht="22" customHeight="1" spans="1:9" x14ac:dyDescent="0.25">
      <c r="A25" s="1"/>
      <c r="B25" s="11" t="s">
        <v>27</v>
      </c>
      <c r="C25" s="8" t="s">
        <v>28</v>
      </c>
      <c r="D25" s="8"/>
      <c r="E25" s="8"/>
      <c r="F25" s="8"/>
      <c r="G25" s="8"/>
      <c r="H25" s="1"/>
      <c r="I25" s="1"/>
    </row>
    <row r="26" ht="22" customHeight="1" spans="1:9" x14ac:dyDescent="0.25">
      <c r="A26" s="1"/>
      <c r="B26" s="12" t="s">
        <v>29</v>
      </c>
      <c r="C26" s="8" t="s">
        <v>30</v>
      </c>
      <c r="D26" s="8"/>
      <c r="E26" s="8"/>
      <c r="F26" s="8"/>
      <c r="G26" s="8"/>
      <c r="H26" s="1"/>
      <c r="I26" s="1"/>
    </row>
    <row r="27" ht="22" customHeight="1" spans="1:9" x14ac:dyDescent="0.25">
      <c r="A27" s="1"/>
      <c r="B27" s="13" t="s">
        <v>31</v>
      </c>
      <c r="C27" s="8" t="s">
        <v>32</v>
      </c>
      <c r="D27" s="8"/>
      <c r="E27" s="8"/>
      <c r="F27" s="8"/>
      <c r="G27" s="8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ht="4" customHeight="1" spans="1:9" x14ac:dyDescent="0.25">
      <c r="A29" s="1"/>
      <c r="B29" s="4"/>
      <c r="C29" s="4"/>
      <c r="D29" s="4"/>
      <c r="E29" s="4"/>
      <c r="F29" s="4"/>
      <c r="G29" s="4"/>
      <c r="H29" s="1"/>
      <c r="I29" s="1"/>
    </row>
    <row r="30" ht="14" customHeight="1" spans="1:9" x14ac:dyDescent="0.25">
      <c r="A30" s="1"/>
      <c r="B30" s="14" t="s">
        <v>33</v>
      </c>
      <c r="C30" s="14"/>
      <c r="D30" s="14"/>
      <c r="E30" s="14"/>
      <c r="F30" s="14"/>
      <c r="G30" s="14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</sheetData>
  <mergeCells count="23">
    <mergeCell ref="B2:G2"/>
    <mergeCell ref="B3:G3"/>
    <mergeCell ref="B6:G6"/>
    <mergeCell ref="B7:G7"/>
    <mergeCell ref="B8:G8"/>
    <mergeCell ref="B9:G9"/>
    <mergeCell ref="B10:G10"/>
    <mergeCell ref="B11:G11"/>
    <mergeCell ref="B12:G12"/>
    <mergeCell ref="B14:G14"/>
    <mergeCell ref="C15:G15"/>
    <mergeCell ref="C16:G16"/>
    <mergeCell ref="C17:G17"/>
    <mergeCell ref="C18:G18"/>
    <mergeCell ref="C19:G19"/>
    <mergeCell ref="C20:G20"/>
    <mergeCell ref="B22:G22"/>
    <mergeCell ref="C23:G23"/>
    <mergeCell ref="C24:G24"/>
    <mergeCell ref="C25:G25"/>
    <mergeCell ref="C26:G26"/>
    <mergeCell ref="C27:G27"/>
    <mergeCell ref="B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6" customWidth="1"/>
    <col min="3" max="3" width="8" customWidth="1"/>
    <col min="4" max="4" width="12" customWidth="1"/>
    <col min="5" max="5" width="6" customWidth="1"/>
    <col min="6" max="6" width="14" customWidth="1"/>
    <col min="7" max="9" width="10" customWidth="1"/>
    <col min="10" max="10" width="22" customWidth="1"/>
  </cols>
  <sheetData>
    <row r="1" ht="12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40" customHeight="1" spans="1:11" x14ac:dyDescent="0.25">
      <c r="A2" s="1"/>
      <c r="B2" s="15" t="s">
        <v>34</v>
      </c>
      <c r="C2" s="15"/>
      <c r="D2" s="15"/>
      <c r="E2" s="15"/>
      <c r="F2" s="15"/>
      <c r="G2" s="15"/>
      <c r="H2" s="15"/>
      <c r="I2" s="15"/>
      <c r="J2" s="15"/>
      <c r="K2" s="1"/>
    </row>
    <row r="3" ht="4" customHeight="1" spans="1:11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1"/>
    </row>
    <row r="4" ht="8" customHeight="1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0" customHeight="1" spans="1:11" x14ac:dyDescent="0.25">
      <c r="A5" s="1"/>
      <c r="B5" s="16" t="s">
        <v>35</v>
      </c>
      <c r="C5" s="16"/>
      <c r="D5" s="16"/>
      <c r="E5" s="16"/>
      <c r="F5" s="16"/>
      <c r="G5" s="16"/>
      <c r="H5" s="16"/>
      <c r="I5" s="16"/>
      <c r="J5" s="16"/>
      <c r="K5" s="1"/>
    </row>
    <row r="6" ht="8" customHeight="1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" customHeight="1" spans="1:11" x14ac:dyDescent="0.25">
      <c r="A7" s="1"/>
      <c r="B7" s="17" t="s">
        <v>36</v>
      </c>
      <c r="C7" s="17"/>
      <c r="D7" s="17"/>
      <c r="E7" s="17"/>
      <c r="F7" s="17"/>
      <c r="G7" s="17"/>
      <c r="H7" s="17"/>
      <c r="I7" s="17"/>
      <c r="J7" s="17"/>
      <c r="K7" s="1"/>
    </row>
    <row r="8" ht="22" customHeight="1" spans="1:11" x14ac:dyDescent="0.25">
      <c r="A8" s="1"/>
      <c r="B8" s="18" t="s">
        <v>37</v>
      </c>
      <c r="C8" s="18" t="s">
        <v>38</v>
      </c>
      <c r="D8" s="18" t="s">
        <v>39</v>
      </c>
      <c r="E8" s="18" t="s">
        <v>40</v>
      </c>
      <c r="F8" s="18" t="s">
        <v>41</v>
      </c>
      <c r="G8" s="18" t="s">
        <v>42</v>
      </c>
      <c r="H8" s="18" t="s">
        <v>43</v>
      </c>
      <c r="I8" s="18" t="s">
        <v>44</v>
      </c>
      <c r="J8" s="18" t="s">
        <v>45</v>
      </c>
      <c r="K8" s="1"/>
    </row>
    <row r="9" ht="22" customHeight="1" spans="1:11" x14ac:dyDescent="0.25">
      <c r="A9" s="1"/>
      <c r="B9" s="19" t="s">
        <v>46</v>
      </c>
      <c r="C9" s="20" t="s">
        <v>47</v>
      </c>
      <c r="D9" s="21" t="s">
        <v>48</v>
      </c>
      <c r="E9" s="22">
        <v>32</v>
      </c>
      <c r="F9" s="21" t="s">
        <v>49</v>
      </c>
      <c r="G9" s="23" t="s">
        <v>50</v>
      </c>
      <c r="H9" s="24" t="s">
        <v>51</v>
      </c>
      <c r="I9" s="25" t="s">
        <v>52</v>
      </c>
      <c r="J9" s="26">
        <f>=IF(AND(G9&lt;&gt;"",G9=H9),"⚠ 2순위=3순위 중복",IF(AND(G9&lt;&gt;"",G9=I9),"⚠ 2순위=3순위 중복",IF(AND(H9&lt;&gt;"",H9=I9),"⚠ 2순위=3순위 중복",IF(AND(H9&lt;&gt;"",G9=""),"⚠ 1순위 없이 2순위 입력",IF(AND(I9&lt;&gt;"",H9=""),"⚠ 2순위 없이 3순위 입력","✓ 정상")))))</f>
      </c>
      <c r="K9" s="1"/>
    </row>
    <row r="10" ht="22" customHeight="1" spans="1:11" x14ac:dyDescent="0.25">
      <c r="A10" s="1"/>
      <c r="B10" s="19" t="s">
        <v>46</v>
      </c>
      <c r="C10" s="20" t="s">
        <v>53</v>
      </c>
      <c r="D10" s="21" t="s">
        <v>54</v>
      </c>
      <c r="E10" s="22">
        <v>35</v>
      </c>
      <c r="F10" s="21" t="s">
        <v>55</v>
      </c>
      <c r="G10" s="23" t="s">
        <v>50</v>
      </c>
      <c r="H10" s="24" t="s">
        <v>56</v>
      </c>
      <c r="I10" s="25" t="s">
        <v>57</v>
      </c>
      <c r="J10" s="26">
        <f>=IF(AND(G10&lt;&gt;"",G10=H10),"⚠ 2순위=3순위 중복",IF(AND(G10&lt;&gt;"",G10=I10),"⚠ 2순위=3순위 중복",IF(AND(H10&lt;&gt;"",H10=I10),"⚠ 2순위=3순위 중복",IF(AND(H10&lt;&gt;"",G10=""),"⚠ 1순위 없이 2순위 입력",IF(AND(I10&lt;&gt;"",H10=""),"⚠ 2순위 없이 3순위 입력","✓ 정상")))))</f>
      </c>
      <c r="K10" s="1"/>
    </row>
    <row r="11" ht="22" customHeight="1" spans="1:11" x14ac:dyDescent="0.25">
      <c r="A11" s="1"/>
      <c r="B11" s="19" t="s">
        <v>46</v>
      </c>
      <c r="C11" s="20" t="s">
        <v>58</v>
      </c>
      <c r="D11" s="21" t="s">
        <v>59</v>
      </c>
      <c r="E11" s="22">
        <v>30</v>
      </c>
      <c r="F11" s="21" t="s">
        <v>60</v>
      </c>
      <c r="G11" s="23" t="s">
        <v>51</v>
      </c>
      <c r="H11" s="24" t="s">
        <v>57</v>
      </c>
      <c r="I11" s="25" t="s">
        <v>61</v>
      </c>
      <c r="J11" s="26">
        <f>=IF(AND(G11&lt;&gt;"",G11=H11),"⚠ 2순위=3순위 중복",IF(AND(G11&lt;&gt;"",G11=I11),"⚠ 2순위=3순위 중복",IF(AND(H11&lt;&gt;"",H11=I11),"⚠ 2순위=3순위 중복",IF(AND(H11&lt;&gt;"",G11=""),"⚠ 1순위 없이 2순위 입력",IF(AND(I11&lt;&gt;"",H11=""),"⚠ 2순위 없이 3순위 입력","✓ 정상")))))</f>
      </c>
      <c r="K11" s="1"/>
    </row>
    <row r="12" ht="22" customHeight="1" spans="1:11" x14ac:dyDescent="0.25">
      <c r="A12" s="1"/>
      <c r="B12" s="19" t="s">
        <v>46</v>
      </c>
      <c r="C12" s="20" t="s">
        <v>62</v>
      </c>
      <c r="D12" s="21" t="s">
        <v>63</v>
      </c>
      <c r="E12" s="22">
        <v>33</v>
      </c>
      <c r="F12" s="21" t="s">
        <v>64</v>
      </c>
      <c r="G12" s="23" t="s">
        <v>52</v>
      </c>
      <c r="H12" s="24" t="s">
        <v>61</v>
      </c>
      <c r="I12" s="25" t="s">
        <v>65</v>
      </c>
      <c r="J12" s="26">
        <f>=IF(AND(G12&lt;&gt;"",G12=H12),"⚠ 2순위=3순위 중복",IF(AND(G12&lt;&gt;"",G12=I12),"⚠ 2순위=3순위 중복",IF(AND(H12&lt;&gt;"",H12=I12),"⚠ 2순위=3순위 중복",IF(AND(H12&lt;&gt;"",G12=""),"⚠ 1순위 없이 2순위 입력",IF(AND(I12&lt;&gt;"",H12=""),"⚠ 2순위 없이 3순위 입력","✓ 정상")))))</f>
      </c>
      <c r="K12" s="1"/>
    </row>
    <row r="13" ht="22" customHeight="1" spans="1:11" x14ac:dyDescent="0.25">
      <c r="A13" s="1"/>
      <c r="B13" s="19" t="s">
        <v>46</v>
      </c>
      <c r="C13" s="20" t="s">
        <v>66</v>
      </c>
      <c r="D13" s="21" t="s">
        <v>67</v>
      </c>
      <c r="E13" s="22">
        <v>31</v>
      </c>
      <c r="F13" s="21" t="s">
        <v>68</v>
      </c>
      <c r="G13" s="23" t="s">
        <v>56</v>
      </c>
      <c r="H13" s="24" t="s">
        <v>65</v>
      </c>
      <c r="I13" s="25" t="s">
        <v>51</v>
      </c>
      <c r="J13" s="26">
        <f>=IF(AND(G13&lt;&gt;"",G13=H13),"⚠ 2순위=3순위 중복",IF(AND(G13&lt;&gt;"",G13=I13),"⚠ 2순위=3순위 중복",IF(AND(H13&lt;&gt;"",H13=I13),"⚠ 2순위=3순위 중복",IF(AND(H13&lt;&gt;"",G13=""),"⚠ 1순위 없이 2순위 입력",IF(AND(I13&lt;&gt;"",H13=""),"⚠ 2순위 없이 3순위 입력","✓ 정상")))))</f>
      </c>
      <c r="K13" s="1"/>
    </row>
    <row r="14" ht="22" customHeight="1" spans="1:11" x14ac:dyDescent="0.25">
      <c r="A14" s="1"/>
      <c r="B14" s="19" t="s">
        <v>46</v>
      </c>
      <c r="C14" s="20" t="s">
        <v>69</v>
      </c>
      <c r="D14" s="21" t="s">
        <v>70</v>
      </c>
      <c r="E14" s="22">
        <v>34</v>
      </c>
      <c r="F14" s="21" t="s">
        <v>71</v>
      </c>
      <c r="G14" s="23" t="s">
        <v>57</v>
      </c>
      <c r="H14" s="24" t="s">
        <v>50</v>
      </c>
      <c r="I14" s="25" t="s">
        <v>52</v>
      </c>
      <c r="J14" s="26">
        <f>=IF(AND(G14&lt;&gt;"",G14=H14),"⚠ 2순위=3순위 중복",IF(AND(G14&lt;&gt;"",G14=I14),"⚠ 2순위=3순위 중복",IF(AND(H14&lt;&gt;"",H14=I14),"⚠ 2순위=3순위 중복",IF(AND(H14&lt;&gt;"",G14=""),"⚠ 1순위 없이 2순위 입력",IF(AND(I14&lt;&gt;"",H14=""),"⚠ 2순위 없이 3순위 입력","✓ 정상")))))</f>
      </c>
      <c r="K14" s="1"/>
    </row>
    <row r="15" ht="22" customHeight="1" spans="1:11" x14ac:dyDescent="0.25">
      <c r="A15" s="1"/>
      <c r="B15" s="19" t="s">
        <v>46</v>
      </c>
      <c r="C15" s="20" t="s">
        <v>72</v>
      </c>
      <c r="D15" s="21" t="s">
        <v>73</v>
      </c>
      <c r="E15" s="22">
        <v>29</v>
      </c>
      <c r="F15" s="21" t="s">
        <v>74</v>
      </c>
      <c r="G15" s="23" t="s">
        <v>61</v>
      </c>
      <c r="H15" s="24" t="s">
        <v>65</v>
      </c>
      <c r="I15" s="25" t="s">
        <v>56</v>
      </c>
      <c r="J15" s="26">
        <f>=IF(AND(G15&lt;&gt;"",G15=H15),"⚠ 2순위=3순위 중복",IF(AND(G15&lt;&gt;"",G15=I15),"⚠ 2순위=3순위 중복",IF(AND(H15&lt;&gt;"",H15=I15),"⚠ 2순위=3순위 중복",IF(AND(H15&lt;&gt;"",G15=""),"⚠ 1순위 없이 2순위 입력",IF(AND(I15&lt;&gt;"",H15=""),"⚠ 2순위 없이 3순위 입력","✓ 정상")))))</f>
      </c>
      <c r="K15" s="1"/>
    </row>
    <row r="16" ht="10" customHeight="1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24" customHeight="1" spans="1:11" x14ac:dyDescent="0.25">
      <c r="A17" s="1"/>
      <c r="B17" s="17" t="s">
        <v>75</v>
      </c>
      <c r="C17" s="17"/>
      <c r="D17" s="17"/>
      <c r="E17" s="17"/>
      <c r="F17" s="17"/>
      <c r="G17" s="17"/>
      <c r="H17" s="17"/>
      <c r="I17" s="17"/>
      <c r="J17" s="17"/>
      <c r="K17" s="1"/>
    </row>
    <row r="18" ht="22" customHeight="1" spans="1:11" x14ac:dyDescent="0.25">
      <c r="A18" s="1"/>
      <c r="B18" s="18" t="s">
        <v>37</v>
      </c>
      <c r="C18" s="18" t="s">
        <v>38</v>
      </c>
      <c r="D18" s="18" t="s">
        <v>39</v>
      </c>
      <c r="E18" s="18" t="s">
        <v>40</v>
      </c>
      <c r="F18" s="18" t="s">
        <v>41</v>
      </c>
      <c r="G18" s="18" t="s">
        <v>42</v>
      </c>
      <c r="H18" s="18" t="s">
        <v>43</v>
      </c>
      <c r="I18" s="18" t="s">
        <v>44</v>
      </c>
      <c r="J18" s="18" t="s">
        <v>45</v>
      </c>
      <c r="K18" s="1"/>
    </row>
    <row r="19" ht="22" customHeight="1" spans="1:11" x14ac:dyDescent="0.25">
      <c r="A19" s="1"/>
      <c r="B19" s="19" t="s">
        <v>76</v>
      </c>
      <c r="C19" s="20" t="s">
        <v>50</v>
      </c>
      <c r="D19" s="21" t="s">
        <v>77</v>
      </c>
      <c r="E19" s="22">
        <v>28</v>
      </c>
      <c r="F19" s="21" t="s">
        <v>78</v>
      </c>
      <c r="G19" s="23" t="s">
        <v>53</v>
      </c>
      <c r="H19" s="24" t="s">
        <v>47</v>
      </c>
      <c r="I19" s="25" t="s">
        <v>69</v>
      </c>
      <c r="J19" s="26">
        <f>=IF(AND(G19&lt;&gt;"",G19=H19),"⚠ 2순위=3순위 중복",IF(AND(G19&lt;&gt;"",G19=I19),"⚠ 2순위=3순위 중복",IF(AND(H19&lt;&gt;"",H19=I19),"⚠ 2순위=3순위 중복",IF(AND(H19&lt;&gt;"",G19=""),"⚠ 1순위 없이 2순위 입력",IF(AND(I19&lt;&gt;"",H19=""),"⚠ 2순위 없이 3순위 입력","✓ 정상")))))</f>
      </c>
      <c r="K19" s="1"/>
    </row>
    <row r="20" ht="22" customHeight="1" spans="1:11" x14ac:dyDescent="0.25">
      <c r="A20" s="1"/>
      <c r="B20" s="19" t="s">
        <v>76</v>
      </c>
      <c r="C20" s="20" t="s">
        <v>51</v>
      </c>
      <c r="D20" s="21" t="s">
        <v>79</v>
      </c>
      <c r="E20" s="22">
        <v>30</v>
      </c>
      <c r="F20" s="21" t="s">
        <v>80</v>
      </c>
      <c r="G20" s="23" t="s">
        <v>47</v>
      </c>
      <c r="H20" s="24" t="s">
        <v>58</v>
      </c>
      <c r="I20" s="25" t="s">
        <v>66</v>
      </c>
      <c r="J20" s="26">
        <f>=IF(AND(G20&lt;&gt;"",G20=H20),"⚠ 2순위=3순위 중복",IF(AND(G20&lt;&gt;"",G20=I20),"⚠ 2순위=3순위 중복",IF(AND(H20&lt;&gt;"",H20=I20),"⚠ 2순위=3순위 중복",IF(AND(H20&lt;&gt;"",G20=""),"⚠ 1순위 없이 2순위 입력",IF(AND(I20&lt;&gt;"",H20=""),"⚠ 2순위 없이 3순위 입력","✓ 정상")))))</f>
      </c>
      <c r="K20" s="1"/>
    </row>
    <row r="21" ht="22" customHeight="1" spans="1:11" x14ac:dyDescent="0.25">
      <c r="A21" s="1"/>
      <c r="B21" s="19" t="s">
        <v>76</v>
      </c>
      <c r="C21" s="20" t="s">
        <v>52</v>
      </c>
      <c r="D21" s="21" t="s">
        <v>81</v>
      </c>
      <c r="E21" s="22">
        <v>27</v>
      </c>
      <c r="F21" s="21" t="s">
        <v>82</v>
      </c>
      <c r="G21" s="23" t="s">
        <v>62</v>
      </c>
      <c r="H21" s="24" t="s">
        <v>47</v>
      </c>
      <c r="I21" s="25" t="s">
        <v>69</v>
      </c>
      <c r="J21" s="26">
        <f>=IF(AND(G21&lt;&gt;"",G21=H21),"⚠ 2순위=3순위 중복",IF(AND(G21&lt;&gt;"",G21=I21),"⚠ 2순위=3순위 중복",IF(AND(H21&lt;&gt;"",H21=I21),"⚠ 2순위=3순위 중복",IF(AND(H21&lt;&gt;"",G21=""),"⚠ 1순위 없이 2순위 입력",IF(AND(I21&lt;&gt;"",H21=""),"⚠ 2순위 없이 3순위 입력","✓ 정상")))))</f>
      </c>
      <c r="K21" s="1"/>
    </row>
    <row r="22" ht="22" customHeight="1" spans="1:11" x14ac:dyDescent="0.25">
      <c r="A22" s="1"/>
      <c r="B22" s="19" t="s">
        <v>76</v>
      </c>
      <c r="C22" s="20" t="s">
        <v>56</v>
      </c>
      <c r="D22" s="21" t="s">
        <v>83</v>
      </c>
      <c r="E22" s="22">
        <v>29</v>
      </c>
      <c r="F22" s="21" t="s">
        <v>84</v>
      </c>
      <c r="G22" s="23" t="s">
        <v>66</v>
      </c>
      <c r="H22" s="24" t="s">
        <v>72</v>
      </c>
      <c r="I22" s="25" t="s">
        <v>53</v>
      </c>
      <c r="J22" s="26">
        <f>=IF(AND(G22&lt;&gt;"",G22=H22),"⚠ 2순위=3순위 중복",IF(AND(G22&lt;&gt;"",G22=I22),"⚠ 2순위=3순위 중복",IF(AND(H22&lt;&gt;"",H22=I22),"⚠ 2순위=3순위 중복",IF(AND(H22&lt;&gt;"",G22=""),"⚠ 1순위 없이 2순위 입력",IF(AND(I22&lt;&gt;"",H22=""),"⚠ 2순위 없이 3순위 입력","✓ 정상")))))</f>
      </c>
      <c r="K22" s="1"/>
    </row>
    <row r="23" ht="22" customHeight="1" spans="1:11" x14ac:dyDescent="0.25">
      <c r="A23" s="1"/>
      <c r="B23" s="19" t="s">
        <v>76</v>
      </c>
      <c r="C23" s="20" t="s">
        <v>57</v>
      </c>
      <c r="D23" s="21" t="s">
        <v>85</v>
      </c>
      <c r="E23" s="22">
        <v>31</v>
      </c>
      <c r="F23" s="21" t="s">
        <v>86</v>
      </c>
      <c r="G23" s="23" t="s">
        <v>58</v>
      </c>
      <c r="H23" s="24" t="s">
        <v>69</v>
      </c>
      <c r="I23" s="25" t="s">
        <v>53</v>
      </c>
      <c r="J23" s="26">
        <f>=IF(AND(G23&lt;&gt;"",G23=H23),"⚠ 2순위=3순위 중복",IF(AND(G23&lt;&gt;"",G23=I23),"⚠ 2순위=3순위 중복",IF(AND(H23&lt;&gt;"",H23=I23),"⚠ 2순위=3순위 중복",IF(AND(H23&lt;&gt;"",G23=""),"⚠ 1순위 없이 2순위 입력",IF(AND(I23&lt;&gt;"",H23=""),"⚠ 2순위 없이 3순위 입력","✓ 정상")))))</f>
      </c>
      <c r="K23" s="1"/>
    </row>
    <row r="24" ht="22" customHeight="1" spans="1:11" x14ac:dyDescent="0.25">
      <c r="A24" s="1"/>
      <c r="B24" s="19" t="s">
        <v>76</v>
      </c>
      <c r="C24" s="20" t="s">
        <v>61</v>
      </c>
      <c r="D24" s="21" t="s">
        <v>87</v>
      </c>
      <c r="E24" s="22">
        <v>28</v>
      </c>
      <c r="F24" s="21" t="s">
        <v>88</v>
      </c>
      <c r="G24" s="23" t="s">
        <v>72</v>
      </c>
      <c r="H24" s="24" t="s">
        <v>58</v>
      </c>
      <c r="I24" s="25" t="s">
        <v>62</v>
      </c>
      <c r="J24" s="26">
        <f>=IF(AND(G24&lt;&gt;"",G24=H24),"⚠ 2순위=3순위 중복",IF(AND(G24&lt;&gt;"",G24=I24),"⚠ 2순위=3순위 중복",IF(AND(H24&lt;&gt;"",H24=I24),"⚠ 2순위=3순위 중복",IF(AND(H24&lt;&gt;"",G24=""),"⚠ 1순위 없이 2순위 입력",IF(AND(I24&lt;&gt;"",H24=""),"⚠ 2순위 없이 3순위 입력","✓ 정상")))))</f>
      </c>
      <c r="K24" s="1"/>
    </row>
    <row r="25" ht="22" customHeight="1" spans="1:11" x14ac:dyDescent="0.25">
      <c r="A25" s="1"/>
      <c r="B25" s="19" t="s">
        <v>76</v>
      </c>
      <c r="C25" s="20" t="s">
        <v>65</v>
      </c>
      <c r="D25" s="21" t="s">
        <v>89</v>
      </c>
      <c r="E25" s="22">
        <v>26</v>
      </c>
      <c r="F25" s="21" t="s">
        <v>90</v>
      </c>
      <c r="G25" s="23" t="s">
        <v>62</v>
      </c>
      <c r="H25" s="24" t="s">
        <v>66</v>
      </c>
      <c r="I25" s="25" t="s">
        <v>72</v>
      </c>
      <c r="J25" s="26">
        <f>=IF(AND(G25&lt;&gt;"",G25=H25),"⚠ 2순위=3순위 중복",IF(AND(G25&lt;&gt;"",G25=I25),"⚠ 2순위=3순위 중복",IF(AND(H25&lt;&gt;"",H25=I25),"⚠ 2순위=3순위 중복",IF(AND(H25&lt;&gt;"",G25=""),"⚠ 1순위 없이 2순위 입력",IF(AND(I25&lt;&gt;"",H25=""),"⚠ 2순위 없이 3순위 입력","✓ 정상")))))</f>
      </c>
      <c r="K25" s="1"/>
    </row>
    <row r="26" ht="4" customHeight="1" spans="1:11" x14ac:dyDescent="0.25">
      <c r="A26" s="1"/>
      <c r="B26" s="4"/>
      <c r="C26" s="4"/>
      <c r="D26" s="4"/>
      <c r="E26" s="4"/>
      <c r="F26" s="4"/>
      <c r="G26" s="4"/>
      <c r="H26" s="4"/>
      <c r="I26" s="4"/>
      <c r="J26" s="4"/>
      <c r="K26" s="1"/>
    </row>
    <row r="27" ht="12" customHeight="1" spans="1:11" x14ac:dyDescent="0.25">
      <c r="A27" s="1"/>
      <c r="B27" s="27" t="s">
        <v>91</v>
      </c>
      <c r="C27" s="27"/>
      <c r="D27" s="27"/>
      <c r="E27" s="27"/>
      <c r="F27" s="27"/>
      <c r="G27" s="27"/>
      <c r="H27" s="27"/>
      <c r="I27" s="27"/>
      <c r="J27" s="27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5">
    <mergeCell ref="B2:J2"/>
    <mergeCell ref="B5:J5"/>
    <mergeCell ref="B7:J7"/>
    <mergeCell ref="B17:J17"/>
    <mergeCell ref="B27:J27"/>
  </mergeCells>
  <dataValidations count="3">
    <dataValidation type="list" allowBlank="1" showErrorMessage="1" errorTitle="입력 오류" error="여자 참가자 ID(W1~W7)만 선택 가능합니다." sqref="G10:I15">
      <formula1>"W1,W2,W3,W4,W5,W6,W7"</formula1>
    </dataValidation>
    <dataValidation type="list" allowBlank="1" showErrorMessage="1" errorTitle="입력 오류" error="남자 참가자 ID(M1~M7)만 선택 가능합니다." sqref="G19:I25">
      <formula1>"M1,M2,M3,M4,M5,M6,M7"</formula1>
    </dataValidation>
    <dataValidation type="list" allowBlank="1" showErrorMessage="1" errorTitle="입력 오류" error="여자 참가자 ID(W1~W7)만 선택 가능합니다." sqref="G9:I15">
      <formula1>"W1,W2,W3,W4,W5,W6,W7"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8" customWidth="1"/>
    <col min="4" max="5" width="14" customWidth="1"/>
    <col min="6" max="8" width="8" customWidth="1"/>
    <col min="9" max="9" width="12" customWidth="1"/>
    <col min="10" max="10" width="4" customWidth="1"/>
  </cols>
  <sheetData>
    <row r="1" ht="12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40" customHeight="1" spans="1:11" x14ac:dyDescent="0.25">
      <c r="A2" s="1"/>
      <c r="B2" s="15" t="s">
        <v>92</v>
      </c>
      <c r="C2" s="15"/>
      <c r="D2" s="15"/>
      <c r="E2" s="15"/>
      <c r="F2" s="15"/>
      <c r="G2" s="15"/>
      <c r="H2" s="15"/>
      <c r="I2" s="15"/>
      <c r="J2" s="1"/>
      <c r="K2" s="1"/>
    </row>
    <row r="3" ht="4" customHeight="1" spans="1:11" x14ac:dyDescent="0.25">
      <c r="A3" s="1"/>
      <c r="B3" s="4"/>
      <c r="C3" s="4"/>
      <c r="D3" s="4"/>
      <c r="E3" s="4"/>
      <c r="F3" s="4"/>
      <c r="G3" s="4"/>
      <c r="H3" s="4"/>
      <c r="I3" s="4"/>
      <c r="J3" s="1"/>
      <c r="K3" s="1"/>
    </row>
    <row r="4" ht="8" customHeight="1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4" customHeight="1" spans="1:11" x14ac:dyDescent="0.25">
      <c r="A5" s="1"/>
      <c r="B5" s="5" t="s">
        <v>93</v>
      </c>
      <c r="C5" s="5"/>
      <c r="D5" s="5"/>
      <c r="E5" s="5"/>
      <c r="F5" s="5"/>
      <c r="G5" s="5"/>
      <c r="H5" s="5"/>
      <c r="I5" s="5"/>
      <c r="J5" s="1"/>
      <c r="K5" s="1"/>
    </row>
    <row r="6" ht="22" customHeight="1" spans="1:11" x14ac:dyDescent="0.25">
      <c r="A6" s="1"/>
      <c r="B6" s="18" t="s">
        <v>94</v>
      </c>
      <c r="C6" s="18" t="s">
        <v>95</v>
      </c>
      <c r="D6" s="18" t="s">
        <v>96</v>
      </c>
      <c r="E6" s="18" t="s">
        <v>97</v>
      </c>
      <c r="F6" s="18" t="s">
        <v>98</v>
      </c>
      <c r="G6" s="18" t="s">
        <v>99</v>
      </c>
      <c r="H6" s="18" t="s">
        <v>100</v>
      </c>
      <c r="I6" s="18" t="s">
        <v>101</v>
      </c>
      <c r="J6" s="1"/>
      <c r="K6" s="1"/>
    </row>
    <row r="7" ht="22" customHeight="1" spans="1:11" x14ac:dyDescent="0.25">
      <c r="A7" s="1"/>
      <c r="B7" s="28" t="s">
        <v>53</v>
      </c>
      <c r="C7" s="28" t="s">
        <v>50</v>
      </c>
      <c r="D7" s="29" t="s">
        <v>42</v>
      </c>
      <c r="E7" s="29" t="s">
        <v>42</v>
      </c>
      <c r="F7" s="30">
        <v>3</v>
      </c>
      <c r="G7" s="30">
        <v>3</v>
      </c>
      <c r="H7" s="31">
        <v>6</v>
      </c>
      <c r="I7" s="32" t="s">
        <v>102</v>
      </c>
      <c r="J7" s="1"/>
      <c r="K7" s="1"/>
    </row>
    <row r="8" ht="22" customHeight="1" spans="1:11" x14ac:dyDescent="0.25">
      <c r="A8" s="1"/>
      <c r="B8" s="28" t="s">
        <v>62</v>
      </c>
      <c r="C8" s="28" t="s">
        <v>52</v>
      </c>
      <c r="D8" s="29" t="s">
        <v>42</v>
      </c>
      <c r="E8" s="29" t="s">
        <v>42</v>
      </c>
      <c r="F8" s="30">
        <v>3</v>
      </c>
      <c r="G8" s="30">
        <v>3</v>
      </c>
      <c r="H8" s="31">
        <v>6</v>
      </c>
      <c r="I8" s="32" t="s">
        <v>102</v>
      </c>
      <c r="J8" s="1"/>
      <c r="K8" s="1"/>
    </row>
    <row r="9" ht="22" customHeight="1" spans="1:11" x14ac:dyDescent="0.25">
      <c r="A9" s="1"/>
      <c r="B9" s="28" t="s">
        <v>66</v>
      </c>
      <c r="C9" s="28" t="s">
        <v>56</v>
      </c>
      <c r="D9" s="29" t="s">
        <v>42</v>
      </c>
      <c r="E9" s="29" t="s">
        <v>42</v>
      </c>
      <c r="F9" s="30">
        <v>3</v>
      </c>
      <c r="G9" s="30">
        <v>3</v>
      </c>
      <c r="H9" s="31">
        <v>6</v>
      </c>
      <c r="I9" s="32" t="s">
        <v>102</v>
      </c>
      <c r="J9" s="1"/>
      <c r="K9" s="1"/>
    </row>
    <row r="10" ht="22" customHeight="1" spans="1:11" x14ac:dyDescent="0.25">
      <c r="A10" s="1"/>
      <c r="B10" s="28" t="s">
        <v>72</v>
      </c>
      <c r="C10" s="28" t="s">
        <v>61</v>
      </c>
      <c r="D10" s="29" t="s">
        <v>42</v>
      </c>
      <c r="E10" s="29" t="s">
        <v>42</v>
      </c>
      <c r="F10" s="30">
        <v>3</v>
      </c>
      <c r="G10" s="30">
        <v>3</v>
      </c>
      <c r="H10" s="31">
        <v>6</v>
      </c>
      <c r="I10" s="32" t="s">
        <v>102</v>
      </c>
      <c r="J10" s="1"/>
      <c r="K10" s="1"/>
    </row>
    <row r="11" ht="22" customHeight="1" spans="1:11" x14ac:dyDescent="0.25">
      <c r="A11" s="1"/>
      <c r="B11" s="28" t="s">
        <v>47</v>
      </c>
      <c r="C11" s="28" t="s">
        <v>50</v>
      </c>
      <c r="D11" s="29" t="s">
        <v>42</v>
      </c>
      <c r="E11" s="29" t="s">
        <v>43</v>
      </c>
      <c r="F11" s="30">
        <v>3</v>
      </c>
      <c r="G11" s="30">
        <v>2</v>
      </c>
      <c r="H11" s="31">
        <v>5</v>
      </c>
      <c r="I11" s="32" t="s">
        <v>102</v>
      </c>
      <c r="J11" s="1"/>
      <c r="K11" s="1"/>
    </row>
    <row r="12" ht="22" customHeight="1" spans="1:11" x14ac:dyDescent="0.25">
      <c r="A12" s="1"/>
      <c r="B12" s="28" t="s">
        <v>47</v>
      </c>
      <c r="C12" s="28" t="s">
        <v>51</v>
      </c>
      <c r="D12" s="29" t="s">
        <v>43</v>
      </c>
      <c r="E12" s="29" t="s">
        <v>42</v>
      </c>
      <c r="F12" s="30">
        <v>2</v>
      </c>
      <c r="G12" s="30">
        <v>3</v>
      </c>
      <c r="H12" s="31">
        <v>5</v>
      </c>
      <c r="I12" s="32" t="s">
        <v>102</v>
      </c>
      <c r="J12" s="1"/>
      <c r="K12" s="1"/>
    </row>
    <row r="13" ht="22" customHeight="1" spans="1:11" x14ac:dyDescent="0.25">
      <c r="A13" s="1"/>
      <c r="B13" s="28" t="s">
        <v>58</v>
      </c>
      <c r="C13" s="28" t="s">
        <v>51</v>
      </c>
      <c r="D13" s="29" t="s">
        <v>42</v>
      </c>
      <c r="E13" s="29" t="s">
        <v>43</v>
      </c>
      <c r="F13" s="30">
        <v>3</v>
      </c>
      <c r="G13" s="30">
        <v>2</v>
      </c>
      <c r="H13" s="31">
        <v>5</v>
      </c>
      <c r="I13" s="32" t="s">
        <v>102</v>
      </c>
      <c r="J13" s="1"/>
      <c r="K13" s="1"/>
    </row>
    <row r="14" ht="22" customHeight="1" spans="1:11" x14ac:dyDescent="0.25">
      <c r="A14" s="1"/>
      <c r="B14" s="28" t="s">
        <v>58</v>
      </c>
      <c r="C14" s="28" t="s">
        <v>57</v>
      </c>
      <c r="D14" s="29" t="s">
        <v>43</v>
      </c>
      <c r="E14" s="29" t="s">
        <v>42</v>
      </c>
      <c r="F14" s="30">
        <v>2</v>
      </c>
      <c r="G14" s="30">
        <v>3</v>
      </c>
      <c r="H14" s="31">
        <v>5</v>
      </c>
      <c r="I14" s="32" t="s">
        <v>102</v>
      </c>
      <c r="J14" s="1"/>
      <c r="K14" s="1"/>
    </row>
    <row r="15" ht="22" customHeight="1" spans="1:11" x14ac:dyDescent="0.25">
      <c r="A15" s="1"/>
      <c r="B15" s="28" t="s">
        <v>69</v>
      </c>
      <c r="C15" s="28" t="s">
        <v>57</v>
      </c>
      <c r="D15" s="29" t="s">
        <v>42</v>
      </c>
      <c r="E15" s="29" t="s">
        <v>43</v>
      </c>
      <c r="F15" s="30">
        <v>3</v>
      </c>
      <c r="G15" s="30">
        <v>2</v>
      </c>
      <c r="H15" s="31">
        <v>5</v>
      </c>
      <c r="I15" s="32" t="s">
        <v>102</v>
      </c>
      <c r="J15" s="1"/>
      <c r="K15" s="1"/>
    </row>
    <row r="16" ht="22" customHeight="1" spans="1:11" x14ac:dyDescent="0.25">
      <c r="A16" s="1"/>
      <c r="B16" s="28" t="s">
        <v>62</v>
      </c>
      <c r="C16" s="28" t="s">
        <v>65</v>
      </c>
      <c r="D16" s="29" t="s">
        <v>44</v>
      </c>
      <c r="E16" s="29" t="s">
        <v>42</v>
      </c>
      <c r="F16" s="30">
        <v>1</v>
      </c>
      <c r="G16" s="30">
        <v>3</v>
      </c>
      <c r="H16" s="33">
        <v>4</v>
      </c>
      <c r="I16" s="32" t="s">
        <v>102</v>
      </c>
      <c r="J16" s="1"/>
      <c r="K16" s="1"/>
    </row>
    <row r="17" ht="22" customHeight="1" spans="1:11" x14ac:dyDescent="0.25">
      <c r="A17" s="1"/>
      <c r="B17" s="28" t="s">
        <v>66</v>
      </c>
      <c r="C17" s="28" t="s">
        <v>65</v>
      </c>
      <c r="D17" s="29" t="s">
        <v>43</v>
      </c>
      <c r="E17" s="29" t="s">
        <v>43</v>
      </c>
      <c r="F17" s="30">
        <v>2</v>
      </c>
      <c r="G17" s="30">
        <v>2</v>
      </c>
      <c r="H17" s="33">
        <v>4</v>
      </c>
      <c r="I17" s="32" t="s">
        <v>102</v>
      </c>
      <c r="J17" s="1"/>
      <c r="K17" s="1"/>
    </row>
    <row r="18" ht="22" customHeight="1" spans="1:11" x14ac:dyDescent="0.25">
      <c r="A18" s="1"/>
      <c r="B18" s="28" t="s">
        <v>47</v>
      </c>
      <c r="C18" s="28" t="s">
        <v>52</v>
      </c>
      <c r="D18" s="29" t="s">
        <v>44</v>
      </c>
      <c r="E18" s="29" t="s">
        <v>43</v>
      </c>
      <c r="F18" s="30">
        <v>1</v>
      </c>
      <c r="G18" s="30">
        <v>2</v>
      </c>
      <c r="H18" s="33">
        <v>3</v>
      </c>
      <c r="I18" s="32" t="s">
        <v>102</v>
      </c>
      <c r="J18" s="1"/>
      <c r="K18" s="1"/>
    </row>
    <row r="19" ht="22" customHeight="1" spans="1:11" x14ac:dyDescent="0.25">
      <c r="A19" s="1"/>
      <c r="B19" s="28" t="s">
        <v>53</v>
      </c>
      <c r="C19" s="28" t="s">
        <v>56</v>
      </c>
      <c r="D19" s="29" t="s">
        <v>43</v>
      </c>
      <c r="E19" s="29" t="s">
        <v>44</v>
      </c>
      <c r="F19" s="30">
        <v>2</v>
      </c>
      <c r="G19" s="30">
        <v>1</v>
      </c>
      <c r="H19" s="33">
        <v>3</v>
      </c>
      <c r="I19" s="32" t="s">
        <v>102</v>
      </c>
      <c r="J19" s="1"/>
      <c r="K19" s="1"/>
    </row>
    <row r="20" ht="22" customHeight="1" spans="1:11" x14ac:dyDescent="0.25">
      <c r="A20" s="1"/>
      <c r="B20" s="28" t="s">
        <v>58</v>
      </c>
      <c r="C20" s="28" t="s">
        <v>61</v>
      </c>
      <c r="D20" s="29" t="s">
        <v>44</v>
      </c>
      <c r="E20" s="29" t="s">
        <v>43</v>
      </c>
      <c r="F20" s="30">
        <v>1</v>
      </c>
      <c r="G20" s="30">
        <v>2</v>
      </c>
      <c r="H20" s="33">
        <v>3</v>
      </c>
      <c r="I20" s="32" t="s">
        <v>102</v>
      </c>
      <c r="J20" s="1"/>
      <c r="K20" s="1"/>
    </row>
    <row r="21" ht="22" customHeight="1" spans="1:11" x14ac:dyDescent="0.25">
      <c r="A21" s="1"/>
      <c r="B21" s="28" t="s">
        <v>62</v>
      </c>
      <c r="C21" s="28" t="s">
        <v>61</v>
      </c>
      <c r="D21" s="29" t="s">
        <v>43</v>
      </c>
      <c r="E21" s="29" t="s">
        <v>44</v>
      </c>
      <c r="F21" s="30">
        <v>2</v>
      </c>
      <c r="G21" s="30">
        <v>1</v>
      </c>
      <c r="H21" s="33">
        <v>3</v>
      </c>
      <c r="I21" s="32" t="s">
        <v>102</v>
      </c>
      <c r="J21" s="1"/>
      <c r="K21" s="1"/>
    </row>
    <row r="22" ht="22" customHeight="1" spans="1:11" x14ac:dyDescent="0.25">
      <c r="A22" s="1"/>
      <c r="B22" s="28" t="s">
        <v>69</v>
      </c>
      <c r="C22" s="28" t="s">
        <v>50</v>
      </c>
      <c r="D22" s="29" t="s">
        <v>43</v>
      </c>
      <c r="E22" s="29" t="s">
        <v>44</v>
      </c>
      <c r="F22" s="30">
        <v>2</v>
      </c>
      <c r="G22" s="30">
        <v>1</v>
      </c>
      <c r="H22" s="33">
        <v>3</v>
      </c>
      <c r="I22" s="32" t="s">
        <v>102</v>
      </c>
      <c r="J22" s="1"/>
      <c r="K22" s="1"/>
    </row>
    <row r="23" ht="22" customHeight="1" spans="1:11" x14ac:dyDescent="0.25">
      <c r="A23" s="1"/>
      <c r="B23" s="28" t="s">
        <v>72</v>
      </c>
      <c r="C23" s="28" t="s">
        <v>56</v>
      </c>
      <c r="D23" s="29" t="s">
        <v>44</v>
      </c>
      <c r="E23" s="29" t="s">
        <v>43</v>
      </c>
      <c r="F23" s="30">
        <v>1</v>
      </c>
      <c r="G23" s="30">
        <v>2</v>
      </c>
      <c r="H23" s="33">
        <v>3</v>
      </c>
      <c r="I23" s="32" t="s">
        <v>102</v>
      </c>
      <c r="J23" s="1"/>
      <c r="K23" s="1"/>
    </row>
    <row r="24" ht="22" customHeight="1" spans="1:11" x14ac:dyDescent="0.25">
      <c r="A24" s="1"/>
      <c r="B24" s="28" t="s">
        <v>72</v>
      </c>
      <c r="C24" s="28" t="s">
        <v>65</v>
      </c>
      <c r="D24" s="29" t="s">
        <v>43</v>
      </c>
      <c r="E24" s="29" t="s">
        <v>44</v>
      </c>
      <c r="F24" s="30">
        <v>2</v>
      </c>
      <c r="G24" s="30">
        <v>1</v>
      </c>
      <c r="H24" s="33">
        <v>3</v>
      </c>
      <c r="I24" s="32" t="s">
        <v>102</v>
      </c>
      <c r="J24" s="1"/>
      <c r="K24" s="1"/>
    </row>
    <row r="25" ht="22" customHeight="1" spans="1:11" x14ac:dyDescent="0.25">
      <c r="A25" s="1"/>
      <c r="B25" s="28" t="s">
        <v>53</v>
      </c>
      <c r="C25" s="28" t="s">
        <v>57</v>
      </c>
      <c r="D25" s="29" t="s">
        <v>44</v>
      </c>
      <c r="E25" s="29" t="s">
        <v>44</v>
      </c>
      <c r="F25" s="30">
        <v>1</v>
      </c>
      <c r="G25" s="30">
        <v>1</v>
      </c>
      <c r="H25" s="33">
        <v>2</v>
      </c>
      <c r="I25" s="32" t="s">
        <v>102</v>
      </c>
      <c r="J25" s="1"/>
      <c r="K25" s="1"/>
    </row>
    <row r="26" ht="22" customHeight="1" spans="1:11" x14ac:dyDescent="0.25">
      <c r="A26" s="1"/>
      <c r="B26" s="28" t="s">
        <v>66</v>
      </c>
      <c r="C26" s="28" t="s">
        <v>51</v>
      </c>
      <c r="D26" s="29" t="s">
        <v>44</v>
      </c>
      <c r="E26" s="29" t="s">
        <v>44</v>
      </c>
      <c r="F26" s="30">
        <v>1</v>
      </c>
      <c r="G26" s="30">
        <v>1</v>
      </c>
      <c r="H26" s="33">
        <v>2</v>
      </c>
      <c r="I26" s="32" t="s">
        <v>102</v>
      </c>
      <c r="J26" s="1"/>
      <c r="K26" s="1"/>
    </row>
    <row r="27" ht="22" customHeight="1" spans="1:11" x14ac:dyDescent="0.25">
      <c r="A27" s="1"/>
      <c r="B27" s="28" t="s">
        <v>69</v>
      </c>
      <c r="C27" s="28" t="s">
        <v>52</v>
      </c>
      <c r="D27" s="29" t="s">
        <v>44</v>
      </c>
      <c r="E27" s="29" t="s">
        <v>44</v>
      </c>
      <c r="F27" s="30">
        <v>1</v>
      </c>
      <c r="G27" s="30">
        <v>1</v>
      </c>
      <c r="H27" s="33">
        <v>2</v>
      </c>
      <c r="I27" s="32" t="s">
        <v>102</v>
      </c>
      <c r="J27" s="1"/>
      <c r="K27" s="1"/>
    </row>
    <row r="28" ht="10" customHeight="1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24" customHeight="1" spans="1:11" x14ac:dyDescent="0.25">
      <c r="A29" s="1"/>
      <c r="B29" s="5" t="s">
        <v>103</v>
      </c>
      <c r="C29" s="5"/>
      <c r="D29" s="5"/>
      <c r="E29" s="5"/>
      <c r="F29" s="5"/>
      <c r="G29" s="5"/>
      <c r="H29" s="5"/>
      <c r="I29" s="5"/>
      <c r="J29" s="1"/>
      <c r="K29" s="1"/>
    </row>
    <row r="30" ht="22" customHeight="1" spans="1:11" x14ac:dyDescent="0.25">
      <c r="A30" s="1"/>
      <c r="B30" s="18" t="s">
        <v>94</v>
      </c>
      <c r="C30" s="18" t="s">
        <v>95</v>
      </c>
      <c r="D30" s="18" t="s">
        <v>96</v>
      </c>
      <c r="E30" s="18" t="s">
        <v>97</v>
      </c>
      <c r="F30" s="18" t="s">
        <v>98</v>
      </c>
      <c r="G30" s="18" t="s">
        <v>99</v>
      </c>
      <c r="H30" s="18" t="s">
        <v>100</v>
      </c>
      <c r="I30" s="18" t="s">
        <v>101</v>
      </c>
      <c r="J30" s="1"/>
      <c r="K30" s="1"/>
    </row>
    <row r="31" ht="20" customHeight="1" spans="1:11" x14ac:dyDescent="0.25">
      <c r="A31" s="1"/>
      <c r="B31" s="34" t="s">
        <v>47</v>
      </c>
      <c r="C31" s="34" t="s">
        <v>50</v>
      </c>
      <c r="D31" s="35" t="s">
        <v>42</v>
      </c>
      <c r="E31" s="35" t="s">
        <v>43</v>
      </c>
      <c r="F31" s="36">
        <v>3</v>
      </c>
      <c r="G31" s="36">
        <v>2</v>
      </c>
      <c r="H31" s="11">
        <v>5</v>
      </c>
      <c r="I31" s="32" t="s">
        <v>102</v>
      </c>
      <c r="J31" s="1"/>
      <c r="K31" s="1"/>
    </row>
    <row r="32" ht="20" customHeight="1" spans="1:11" x14ac:dyDescent="0.25">
      <c r="A32" s="1"/>
      <c r="B32" s="34" t="s">
        <v>47</v>
      </c>
      <c r="C32" s="34" t="s">
        <v>51</v>
      </c>
      <c r="D32" s="35" t="s">
        <v>43</v>
      </c>
      <c r="E32" s="35" t="s">
        <v>42</v>
      </c>
      <c r="F32" s="36">
        <v>2</v>
      </c>
      <c r="G32" s="36">
        <v>3</v>
      </c>
      <c r="H32" s="11">
        <v>5</v>
      </c>
      <c r="I32" s="32" t="s">
        <v>102</v>
      </c>
      <c r="J32" s="1"/>
      <c r="K32" s="1"/>
    </row>
    <row r="33" ht="20" customHeight="1" spans="1:11" x14ac:dyDescent="0.25">
      <c r="A33" s="1"/>
      <c r="B33" s="34" t="s">
        <v>47</v>
      </c>
      <c r="C33" s="34" t="s">
        <v>52</v>
      </c>
      <c r="D33" s="35" t="s">
        <v>44</v>
      </c>
      <c r="E33" s="35" t="s">
        <v>43</v>
      </c>
      <c r="F33" s="36">
        <v>1</v>
      </c>
      <c r="G33" s="36">
        <v>2</v>
      </c>
      <c r="H33" s="11">
        <v>3</v>
      </c>
      <c r="I33" s="32" t="s">
        <v>102</v>
      </c>
      <c r="J33" s="1"/>
      <c r="K33" s="1"/>
    </row>
    <row r="34" ht="20" customHeight="1" spans="1:11" x14ac:dyDescent="0.25">
      <c r="A34" s="1"/>
      <c r="B34" s="37" t="s">
        <v>47</v>
      </c>
      <c r="C34" s="37" t="s">
        <v>56</v>
      </c>
      <c r="D34" s="19" t="s">
        <v>104</v>
      </c>
      <c r="E34" s="19" t="s">
        <v>104</v>
      </c>
      <c r="F34" s="38" t="s">
        <v>104</v>
      </c>
      <c r="G34" s="38" t="s">
        <v>104</v>
      </c>
      <c r="H34" s="39" t="s">
        <v>104</v>
      </c>
      <c r="I34" s="19" t="s">
        <v>105</v>
      </c>
      <c r="J34" s="1"/>
      <c r="K34" s="1"/>
    </row>
    <row r="35" ht="20" customHeight="1" spans="1:11" x14ac:dyDescent="0.25">
      <c r="A35" s="1"/>
      <c r="B35" s="37" t="s">
        <v>47</v>
      </c>
      <c r="C35" s="37" t="s">
        <v>57</v>
      </c>
      <c r="D35" s="19" t="s">
        <v>104</v>
      </c>
      <c r="E35" s="19" t="s">
        <v>104</v>
      </c>
      <c r="F35" s="38" t="s">
        <v>104</v>
      </c>
      <c r="G35" s="38" t="s">
        <v>104</v>
      </c>
      <c r="H35" s="39" t="s">
        <v>104</v>
      </c>
      <c r="I35" s="19" t="s">
        <v>105</v>
      </c>
      <c r="J35" s="1"/>
      <c r="K35" s="1"/>
    </row>
    <row r="36" ht="20" customHeight="1" spans="1:11" x14ac:dyDescent="0.25">
      <c r="A36" s="1"/>
      <c r="B36" s="37" t="s">
        <v>47</v>
      </c>
      <c r="C36" s="37" t="s">
        <v>61</v>
      </c>
      <c r="D36" s="19" t="s">
        <v>104</v>
      </c>
      <c r="E36" s="19" t="s">
        <v>104</v>
      </c>
      <c r="F36" s="38" t="s">
        <v>104</v>
      </c>
      <c r="G36" s="38" t="s">
        <v>104</v>
      </c>
      <c r="H36" s="39" t="s">
        <v>104</v>
      </c>
      <c r="I36" s="19" t="s">
        <v>105</v>
      </c>
      <c r="J36" s="1"/>
      <c r="K36" s="1"/>
    </row>
    <row r="37" ht="20" customHeight="1" spans="1:11" x14ac:dyDescent="0.25">
      <c r="A37" s="1"/>
      <c r="B37" s="37" t="s">
        <v>47</v>
      </c>
      <c r="C37" s="37" t="s">
        <v>65</v>
      </c>
      <c r="D37" s="19" t="s">
        <v>104</v>
      </c>
      <c r="E37" s="19" t="s">
        <v>104</v>
      </c>
      <c r="F37" s="38" t="s">
        <v>104</v>
      </c>
      <c r="G37" s="38" t="s">
        <v>104</v>
      </c>
      <c r="H37" s="39" t="s">
        <v>104</v>
      </c>
      <c r="I37" s="19" t="s">
        <v>105</v>
      </c>
      <c r="J37" s="1"/>
      <c r="K37" s="1"/>
    </row>
    <row r="38" ht="20" customHeight="1" spans="1:11" x14ac:dyDescent="0.25">
      <c r="A38" s="1"/>
      <c r="B38" s="34" t="s">
        <v>53</v>
      </c>
      <c r="C38" s="34" t="s">
        <v>50</v>
      </c>
      <c r="D38" s="35" t="s">
        <v>42</v>
      </c>
      <c r="E38" s="35" t="s">
        <v>42</v>
      </c>
      <c r="F38" s="36">
        <v>3</v>
      </c>
      <c r="G38" s="36">
        <v>3</v>
      </c>
      <c r="H38" s="11">
        <v>6</v>
      </c>
      <c r="I38" s="32" t="s">
        <v>102</v>
      </c>
      <c r="J38" s="1"/>
      <c r="K38" s="1"/>
    </row>
    <row r="39" ht="20" customHeight="1" spans="1:11" x14ac:dyDescent="0.25">
      <c r="A39" s="1"/>
      <c r="B39" s="37" t="s">
        <v>53</v>
      </c>
      <c r="C39" s="37" t="s">
        <v>51</v>
      </c>
      <c r="D39" s="19" t="s">
        <v>104</v>
      </c>
      <c r="E39" s="19" t="s">
        <v>104</v>
      </c>
      <c r="F39" s="38" t="s">
        <v>104</v>
      </c>
      <c r="G39" s="38" t="s">
        <v>104</v>
      </c>
      <c r="H39" s="39" t="s">
        <v>104</v>
      </c>
      <c r="I39" s="19" t="s">
        <v>105</v>
      </c>
      <c r="J39" s="1"/>
      <c r="K39" s="1"/>
    </row>
    <row r="40" ht="20" customHeight="1" spans="1:11" x14ac:dyDescent="0.25">
      <c r="A40" s="1"/>
      <c r="B40" s="37" t="s">
        <v>53</v>
      </c>
      <c r="C40" s="37" t="s">
        <v>52</v>
      </c>
      <c r="D40" s="19" t="s">
        <v>104</v>
      </c>
      <c r="E40" s="19" t="s">
        <v>104</v>
      </c>
      <c r="F40" s="38" t="s">
        <v>104</v>
      </c>
      <c r="G40" s="38" t="s">
        <v>104</v>
      </c>
      <c r="H40" s="39" t="s">
        <v>104</v>
      </c>
      <c r="I40" s="19" t="s">
        <v>105</v>
      </c>
      <c r="J40" s="1"/>
      <c r="K40" s="1"/>
    </row>
    <row r="41" ht="20" customHeight="1" spans="1:11" x14ac:dyDescent="0.25">
      <c r="A41" s="1"/>
      <c r="B41" s="34" t="s">
        <v>53</v>
      </c>
      <c r="C41" s="34" t="s">
        <v>56</v>
      </c>
      <c r="D41" s="35" t="s">
        <v>43</v>
      </c>
      <c r="E41" s="35" t="s">
        <v>44</v>
      </c>
      <c r="F41" s="36">
        <v>2</v>
      </c>
      <c r="G41" s="36">
        <v>1</v>
      </c>
      <c r="H41" s="11">
        <v>3</v>
      </c>
      <c r="I41" s="32" t="s">
        <v>102</v>
      </c>
      <c r="J41" s="1"/>
      <c r="K41" s="1"/>
    </row>
    <row r="42" ht="20" customHeight="1" spans="1:11" x14ac:dyDescent="0.25">
      <c r="A42" s="1"/>
      <c r="B42" s="34" t="s">
        <v>53</v>
      </c>
      <c r="C42" s="34" t="s">
        <v>57</v>
      </c>
      <c r="D42" s="35" t="s">
        <v>44</v>
      </c>
      <c r="E42" s="35" t="s">
        <v>44</v>
      </c>
      <c r="F42" s="36">
        <v>1</v>
      </c>
      <c r="G42" s="36">
        <v>1</v>
      </c>
      <c r="H42" s="11">
        <v>2</v>
      </c>
      <c r="I42" s="32" t="s">
        <v>102</v>
      </c>
      <c r="J42" s="1"/>
      <c r="K42" s="1"/>
    </row>
    <row r="43" ht="20" customHeight="1" spans="1:11" x14ac:dyDescent="0.25">
      <c r="A43" s="1"/>
      <c r="B43" s="37" t="s">
        <v>53</v>
      </c>
      <c r="C43" s="37" t="s">
        <v>61</v>
      </c>
      <c r="D43" s="19" t="s">
        <v>104</v>
      </c>
      <c r="E43" s="19" t="s">
        <v>104</v>
      </c>
      <c r="F43" s="38" t="s">
        <v>104</v>
      </c>
      <c r="G43" s="38" t="s">
        <v>104</v>
      </c>
      <c r="H43" s="39" t="s">
        <v>104</v>
      </c>
      <c r="I43" s="19" t="s">
        <v>105</v>
      </c>
      <c r="J43" s="1"/>
      <c r="K43" s="1"/>
    </row>
    <row r="44" ht="20" customHeight="1" spans="1:11" x14ac:dyDescent="0.25">
      <c r="A44" s="1"/>
      <c r="B44" s="37" t="s">
        <v>53</v>
      </c>
      <c r="C44" s="37" t="s">
        <v>65</v>
      </c>
      <c r="D44" s="19" t="s">
        <v>104</v>
      </c>
      <c r="E44" s="19" t="s">
        <v>104</v>
      </c>
      <c r="F44" s="38" t="s">
        <v>104</v>
      </c>
      <c r="G44" s="38" t="s">
        <v>104</v>
      </c>
      <c r="H44" s="39" t="s">
        <v>104</v>
      </c>
      <c r="I44" s="19" t="s">
        <v>105</v>
      </c>
      <c r="J44" s="1"/>
      <c r="K44" s="1"/>
    </row>
    <row r="45" ht="20" customHeight="1" spans="1:11" x14ac:dyDescent="0.25">
      <c r="A45" s="1"/>
      <c r="B45" s="37" t="s">
        <v>58</v>
      </c>
      <c r="C45" s="37" t="s">
        <v>50</v>
      </c>
      <c r="D45" s="19" t="s">
        <v>104</v>
      </c>
      <c r="E45" s="19" t="s">
        <v>104</v>
      </c>
      <c r="F45" s="38" t="s">
        <v>104</v>
      </c>
      <c r="G45" s="38" t="s">
        <v>104</v>
      </c>
      <c r="H45" s="39" t="s">
        <v>104</v>
      </c>
      <c r="I45" s="19" t="s">
        <v>105</v>
      </c>
      <c r="J45" s="1"/>
      <c r="K45" s="1"/>
    </row>
    <row r="46" ht="20" customHeight="1" spans="1:11" x14ac:dyDescent="0.25">
      <c r="A46" s="1"/>
      <c r="B46" s="34" t="s">
        <v>58</v>
      </c>
      <c r="C46" s="34" t="s">
        <v>51</v>
      </c>
      <c r="D46" s="35" t="s">
        <v>42</v>
      </c>
      <c r="E46" s="35" t="s">
        <v>43</v>
      </c>
      <c r="F46" s="36">
        <v>3</v>
      </c>
      <c r="G46" s="36">
        <v>2</v>
      </c>
      <c r="H46" s="11">
        <v>5</v>
      </c>
      <c r="I46" s="32" t="s">
        <v>102</v>
      </c>
      <c r="J46" s="1"/>
      <c r="K46" s="1"/>
    </row>
    <row r="47" ht="20" customHeight="1" spans="1:11" x14ac:dyDescent="0.25">
      <c r="A47" s="1"/>
      <c r="B47" s="37" t="s">
        <v>58</v>
      </c>
      <c r="C47" s="37" t="s">
        <v>52</v>
      </c>
      <c r="D47" s="19" t="s">
        <v>104</v>
      </c>
      <c r="E47" s="19" t="s">
        <v>104</v>
      </c>
      <c r="F47" s="38" t="s">
        <v>104</v>
      </c>
      <c r="G47" s="38" t="s">
        <v>104</v>
      </c>
      <c r="H47" s="39" t="s">
        <v>104</v>
      </c>
      <c r="I47" s="19" t="s">
        <v>105</v>
      </c>
      <c r="J47" s="1"/>
      <c r="K47" s="1"/>
    </row>
    <row r="48" ht="20" customHeight="1" spans="1:11" x14ac:dyDescent="0.25">
      <c r="A48" s="1"/>
      <c r="B48" s="37" t="s">
        <v>58</v>
      </c>
      <c r="C48" s="37" t="s">
        <v>56</v>
      </c>
      <c r="D48" s="19" t="s">
        <v>104</v>
      </c>
      <c r="E48" s="19" t="s">
        <v>104</v>
      </c>
      <c r="F48" s="38" t="s">
        <v>104</v>
      </c>
      <c r="G48" s="38" t="s">
        <v>104</v>
      </c>
      <c r="H48" s="39" t="s">
        <v>104</v>
      </c>
      <c r="I48" s="19" t="s">
        <v>105</v>
      </c>
      <c r="J48" s="1"/>
      <c r="K48" s="1"/>
    </row>
    <row r="49" ht="20" customHeight="1" spans="1:11" x14ac:dyDescent="0.25">
      <c r="A49" s="1"/>
      <c r="B49" s="34" t="s">
        <v>58</v>
      </c>
      <c r="C49" s="34" t="s">
        <v>57</v>
      </c>
      <c r="D49" s="35" t="s">
        <v>43</v>
      </c>
      <c r="E49" s="35" t="s">
        <v>42</v>
      </c>
      <c r="F49" s="36">
        <v>2</v>
      </c>
      <c r="G49" s="36">
        <v>3</v>
      </c>
      <c r="H49" s="11">
        <v>5</v>
      </c>
      <c r="I49" s="32" t="s">
        <v>102</v>
      </c>
      <c r="J49" s="1"/>
      <c r="K49" s="1"/>
    </row>
    <row r="50" ht="20" customHeight="1" spans="1:11" x14ac:dyDescent="0.25">
      <c r="A50" s="1"/>
      <c r="B50" s="34" t="s">
        <v>58</v>
      </c>
      <c r="C50" s="34" t="s">
        <v>61</v>
      </c>
      <c r="D50" s="35" t="s">
        <v>44</v>
      </c>
      <c r="E50" s="35" t="s">
        <v>43</v>
      </c>
      <c r="F50" s="36">
        <v>1</v>
      </c>
      <c r="G50" s="36">
        <v>2</v>
      </c>
      <c r="H50" s="11">
        <v>3</v>
      </c>
      <c r="I50" s="32" t="s">
        <v>102</v>
      </c>
      <c r="J50" s="1"/>
      <c r="K50" s="1"/>
    </row>
    <row r="51" ht="20" customHeight="1" spans="1:11" x14ac:dyDescent="0.25">
      <c r="A51" s="1"/>
      <c r="B51" s="37" t="s">
        <v>58</v>
      </c>
      <c r="C51" s="37" t="s">
        <v>65</v>
      </c>
      <c r="D51" s="19" t="s">
        <v>104</v>
      </c>
      <c r="E51" s="19" t="s">
        <v>104</v>
      </c>
      <c r="F51" s="38" t="s">
        <v>104</v>
      </c>
      <c r="G51" s="38" t="s">
        <v>104</v>
      </c>
      <c r="H51" s="39" t="s">
        <v>104</v>
      </c>
      <c r="I51" s="19" t="s">
        <v>105</v>
      </c>
      <c r="J51" s="1"/>
      <c r="K51" s="1"/>
    </row>
    <row r="52" ht="20" customHeight="1" spans="1:11" x14ac:dyDescent="0.25">
      <c r="A52" s="1"/>
      <c r="B52" s="37" t="s">
        <v>62</v>
      </c>
      <c r="C52" s="37" t="s">
        <v>50</v>
      </c>
      <c r="D52" s="19" t="s">
        <v>104</v>
      </c>
      <c r="E52" s="19" t="s">
        <v>104</v>
      </c>
      <c r="F52" s="38" t="s">
        <v>104</v>
      </c>
      <c r="G52" s="38" t="s">
        <v>104</v>
      </c>
      <c r="H52" s="39" t="s">
        <v>104</v>
      </c>
      <c r="I52" s="19" t="s">
        <v>105</v>
      </c>
      <c r="J52" s="1"/>
      <c r="K52" s="1"/>
    </row>
    <row r="53" ht="20" customHeight="1" spans="1:11" x14ac:dyDescent="0.25">
      <c r="A53" s="1"/>
      <c r="B53" s="37" t="s">
        <v>62</v>
      </c>
      <c r="C53" s="37" t="s">
        <v>51</v>
      </c>
      <c r="D53" s="19" t="s">
        <v>104</v>
      </c>
      <c r="E53" s="19" t="s">
        <v>104</v>
      </c>
      <c r="F53" s="38" t="s">
        <v>104</v>
      </c>
      <c r="G53" s="38" t="s">
        <v>104</v>
      </c>
      <c r="H53" s="39" t="s">
        <v>104</v>
      </c>
      <c r="I53" s="19" t="s">
        <v>105</v>
      </c>
      <c r="J53" s="1"/>
      <c r="K53" s="1"/>
    </row>
    <row r="54" ht="20" customHeight="1" spans="1:11" x14ac:dyDescent="0.25">
      <c r="A54" s="1"/>
      <c r="B54" s="34" t="s">
        <v>62</v>
      </c>
      <c r="C54" s="34" t="s">
        <v>52</v>
      </c>
      <c r="D54" s="35" t="s">
        <v>42</v>
      </c>
      <c r="E54" s="35" t="s">
        <v>42</v>
      </c>
      <c r="F54" s="36">
        <v>3</v>
      </c>
      <c r="G54" s="36">
        <v>3</v>
      </c>
      <c r="H54" s="11">
        <v>6</v>
      </c>
      <c r="I54" s="32" t="s">
        <v>102</v>
      </c>
      <c r="J54" s="1"/>
      <c r="K54" s="1"/>
    </row>
    <row r="55" ht="20" customHeight="1" spans="1:11" x14ac:dyDescent="0.25">
      <c r="A55" s="1"/>
      <c r="B55" s="37" t="s">
        <v>62</v>
      </c>
      <c r="C55" s="37" t="s">
        <v>56</v>
      </c>
      <c r="D55" s="19" t="s">
        <v>104</v>
      </c>
      <c r="E55" s="19" t="s">
        <v>104</v>
      </c>
      <c r="F55" s="38" t="s">
        <v>104</v>
      </c>
      <c r="G55" s="38" t="s">
        <v>104</v>
      </c>
      <c r="H55" s="39" t="s">
        <v>104</v>
      </c>
      <c r="I55" s="19" t="s">
        <v>105</v>
      </c>
      <c r="J55" s="1"/>
      <c r="K55" s="1"/>
    </row>
    <row r="56" ht="20" customHeight="1" spans="1:11" x14ac:dyDescent="0.25">
      <c r="A56" s="1"/>
      <c r="B56" s="37" t="s">
        <v>62</v>
      </c>
      <c r="C56" s="37" t="s">
        <v>57</v>
      </c>
      <c r="D56" s="19" t="s">
        <v>104</v>
      </c>
      <c r="E56" s="19" t="s">
        <v>104</v>
      </c>
      <c r="F56" s="38" t="s">
        <v>104</v>
      </c>
      <c r="G56" s="38" t="s">
        <v>104</v>
      </c>
      <c r="H56" s="39" t="s">
        <v>104</v>
      </c>
      <c r="I56" s="19" t="s">
        <v>105</v>
      </c>
      <c r="J56" s="1"/>
      <c r="K56" s="1"/>
    </row>
    <row r="57" ht="20" customHeight="1" spans="1:11" x14ac:dyDescent="0.25">
      <c r="A57" s="1"/>
      <c r="B57" s="34" t="s">
        <v>62</v>
      </c>
      <c r="C57" s="34" t="s">
        <v>61</v>
      </c>
      <c r="D57" s="35" t="s">
        <v>43</v>
      </c>
      <c r="E57" s="35" t="s">
        <v>44</v>
      </c>
      <c r="F57" s="36">
        <v>2</v>
      </c>
      <c r="G57" s="36">
        <v>1</v>
      </c>
      <c r="H57" s="11">
        <v>3</v>
      </c>
      <c r="I57" s="32" t="s">
        <v>102</v>
      </c>
      <c r="J57" s="1"/>
      <c r="K57" s="1"/>
    </row>
    <row r="58" ht="20" customHeight="1" spans="1:11" x14ac:dyDescent="0.25">
      <c r="A58" s="1"/>
      <c r="B58" s="34" t="s">
        <v>62</v>
      </c>
      <c r="C58" s="34" t="s">
        <v>65</v>
      </c>
      <c r="D58" s="35" t="s">
        <v>44</v>
      </c>
      <c r="E58" s="35" t="s">
        <v>42</v>
      </c>
      <c r="F58" s="36">
        <v>1</v>
      </c>
      <c r="G58" s="36">
        <v>3</v>
      </c>
      <c r="H58" s="11">
        <v>4</v>
      </c>
      <c r="I58" s="32" t="s">
        <v>102</v>
      </c>
      <c r="J58" s="1"/>
      <c r="K58" s="1"/>
    </row>
    <row r="59" ht="20" customHeight="1" spans="1:11" x14ac:dyDescent="0.25">
      <c r="A59" s="1"/>
      <c r="B59" s="37" t="s">
        <v>66</v>
      </c>
      <c r="C59" s="37" t="s">
        <v>50</v>
      </c>
      <c r="D59" s="19" t="s">
        <v>104</v>
      </c>
      <c r="E59" s="19" t="s">
        <v>104</v>
      </c>
      <c r="F59" s="38" t="s">
        <v>104</v>
      </c>
      <c r="G59" s="38" t="s">
        <v>104</v>
      </c>
      <c r="H59" s="39" t="s">
        <v>104</v>
      </c>
      <c r="I59" s="19" t="s">
        <v>105</v>
      </c>
      <c r="J59" s="1"/>
      <c r="K59" s="1"/>
    </row>
    <row r="60" ht="20" customHeight="1" spans="1:11" x14ac:dyDescent="0.25">
      <c r="A60" s="1"/>
      <c r="B60" s="34" t="s">
        <v>66</v>
      </c>
      <c r="C60" s="34" t="s">
        <v>51</v>
      </c>
      <c r="D60" s="35" t="s">
        <v>44</v>
      </c>
      <c r="E60" s="35" t="s">
        <v>44</v>
      </c>
      <c r="F60" s="36">
        <v>1</v>
      </c>
      <c r="G60" s="36">
        <v>1</v>
      </c>
      <c r="H60" s="11">
        <v>2</v>
      </c>
      <c r="I60" s="32" t="s">
        <v>102</v>
      </c>
      <c r="J60" s="1"/>
      <c r="K60" s="1"/>
    </row>
    <row r="61" ht="20" customHeight="1" spans="1:11" x14ac:dyDescent="0.25">
      <c r="A61" s="1"/>
      <c r="B61" s="37" t="s">
        <v>66</v>
      </c>
      <c r="C61" s="37" t="s">
        <v>52</v>
      </c>
      <c r="D61" s="19" t="s">
        <v>104</v>
      </c>
      <c r="E61" s="19" t="s">
        <v>104</v>
      </c>
      <c r="F61" s="38" t="s">
        <v>104</v>
      </c>
      <c r="G61" s="38" t="s">
        <v>104</v>
      </c>
      <c r="H61" s="39" t="s">
        <v>104</v>
      </c>
      <c r="I61" s="19" t="s">
        <v>105</v>
      </c>
      <c r="J61" s="1"/>
      <c r="K61" s="1"/>
    </row>
    <row r="62" ht="20" customHeight="1" spans="1:11" x14ac:dyDescent="0.25">
      <c r="A62" s="1"/>
      <c r="B62" s="34" t="s">
        <v>66</v>
      </c>
      <c r="C62" s="34" t="s">
        <v>56</v>
      </c>
      <c r="D62" s="35" t="s">
        <v>42</v>
      </c>
      <c r="E62" s="35" t="s">
        <v>42</v>
      </c>
      <c r="F62" s="36">
        <v>3</v>
      </c>
      <c r="G62" s="36">
        <v>3</v>
      </c>
      <c r="H62" s="11">
        <v>6</v>
      </c>
      <c r="I62" s="32" t="s">
        <v>102</v>
      </c>
      <c r="J62" s="1"/>
      <c r="K62" s="1"/>
    </row>
    <row r="63" ht="20" customHeight="1" spans="1:11" x14ac:dyDescent="0.25">
      <c r="A63" s="1"/>
      <c r="B63" s="37" t="s">
        <v>66</v>
      </c>
      <c r="C63" s="37" t="s">
        <v>57</v>
      </c>
      <c r="D63" s="19" t="s">
        <v>104</v>
      </c>
      <c r="E63" s="19" t="s">
        <v>104</v>
      </c>
      <c r="F63" s="38" t="s">
        <v>104</v>
      </c>
      <c r="G63" s="38" t="s">
        <v>104</v>
      </c>
      <c r="H63" s="39" t="s">
        <v>104</v>
      </c>
      <c r="I63" s="19" t="s">
        <v>105</v>
      </c>
      <c r="J63" s="1"/>
      <c r="K63" s="1"/>
    </row>
    <row r="64" ht="20" customHeight="1" spans="1:11" x14ac:dyDescent="0.25">
      <c r="A64" s="1"/>
      <c r="B64" s="37" t="s">
        <v>66</v>
      </c>
      <c r="C64" s="37" t="s">
        <v>61</v>
      </c>
      <c r="D64" s="19" t="s">
        <v>104</v>
      </c>
      <c r="E64" s="19" t="s">
        <v>104</v>
      </c>
      <c r="F64" s="38" t="s">
        <v>104</v>
      </c>
      <c r="G64" s="38" t="s">
        <v>104</v>
      </c>
      <c r="H64" s="39" t="s">
        <v>104</v>
      </c>
      <c r="I64" s="19" t="s">
        <v>105</v>
      </c>
      <c r="J64" s="1"/>
      <c r="K64" s="1"/>
    </row>
    <row r="65" ht="20" customHeight="1" spans="1:11" x14ac:dyDescent="0.25">
      <c r="A65" s="1"/>
      <c r="B65" s="34" t="s">
        <v>66</v>
      </c>
      <c r="C65" s="34" t="s">
        <v>65</v>
      </c>
      <c r="D65" s="35" t="s">
        <v>43</v>
      </c>
      <c r="E65" s="35" t="s">
        <v>43</v>
      </c>
      <c r="F65" s="36">
        <v>2</v>
      </c>
      <c r="G65" s="36">
        <v>2</v>
      </c>
      <c r="H65" s="11">
        <v>4</v>
      </c>
      <c r="I65" s="32" t="s">
        <v>102</v>
      </c>
      <c r="J65" s="1"/>
      <c r="K65" s="1"/>
    </row>
    <row r="66" ht="20" customHeight="1" spans="1:11" x14ac:dyDescent="0.25">
      <c r="A66" s="1"/>
      <c r="B66" s="34" t="s">
        <v>69</v>
      </c>
      <c r="C66" s="34" t="s">
        <v>50</v>
      </c>
      <c r="D66" s="35" t="s">
        <v>43</v>
      </c>
      <c r="E66" s="35" t="s">
        <v>44</v>
      </c>
      <c r="F66" s="36">
        <v>2</v>
      </c>
      <c r="G66" s="36">
        <v>1</v>
      </c>
      <c r="H66" s="11">
        <v>3</v>
      </c>
      <c r="I66" s="32" t="s">
        <v>102</v>
      </c>
      <c r="J66" s="1"/>
      <c r="K66" s="1"/>
    </row>
    <row r="67" ht="20" customHeight="1" spans="1:11" x14ac:dyDescent="0.25">
      <c r="A67" s="1"/>
      <c r="B67" s="37" t="s">
        <v>69</v>
      </c>
      <c r="C67" s="37" t="s">
        <v>51</v>
      </c>
      <c r="D67" s="19" t="s">
        <v>104</v>
      </c>
      <c r="E67" s="19" t="s">
        <v>104</v>
      </c>
      <c r="F67" s="38" t="s">
        <v>104</v>
      </c>
      <c r="G67" s="38" t="s">
        <v>104</v>
      </c>
      <c r="H67" s="39" t="s">
        <v>104</v>
      </c>
      <c r="I67" s="19" t="s">
        <v>105</v>
      </c>
      <c r="J67" s="1"/>
      <c r="K67" s="1"/>
    </row>
    <row r="68" ht="20" customHeight="1" spans="1:11" x14ac:dyDescent="0.25">
      <c r="A68" s="1"/>
      <c r="B68" s="34" t="s">
        <v>69</v>
      </c>
      <c r="C68" s="34" t="s">
        <v>52</v>
      </c>
      <c r="D68" s="35" t="s">
        <v>44</v>
      </c>
      <c r="E68" s="35" t="s">
        <v>44</v>
      </c>
      <c r="F68" s="36">
        <v>1</v>
      </c>
      <c r="G68" s="36">
        <v>1</v>
      </c>
      <c r="H68" s="11">
        <v>2</v>
      </c>
      <c r="I68" s="32" t="s">
        <v>102</v>
      </c>
      <c r="J68" s="1"/>
      <c r="K68" s="1"/>
    </row>
    <row r="69" ht="20" customHeight="1" spans="1:11" x14ac:dyDescent="0.25">
      <c r="A69" s="1"/>
      <c r="B69" s="37" t="s">
        <v>69</v>
      </c>
      <c r="C69" s="37" t="s">
        <v>56</v>
      </c>
      <c r="D69" s="19" t="s">
        <v>104</v>
      </c>
      <c r="E69" s="19" t="s">
        <v>104</v>
      </c>
      <c r="F69" s="38" t="s">
        <v>104</v>
      </c>
      <c r="G69" s="38" t="s">
        <v>104</v>
      </c>
      <c r="H69" s="39" t="s">
        <v>104</v>
      </c>
      <c r="I69" s="19" t="s">
        <v>105</v>
      </c>
      <c r="J69" s="1"/>
      <c r="K69" s="1"/>
    </row>
    <row r="70" ht="20" customHeight="1" spans="1:11" x14ac:dyDescent="0.25">
      <c r="A70" s="1"/>
      <c r="B70" s="34" t="s">
        <v>69</v>
      </c>
      <c r="C70" s="34" t="s">
        <v>57</v>
      </c>
      <c r="D70" s="35" t="s">
        <v>42</v>
      </c>
      <c r="E70" s="35" t="s">
        <v>43</v>
      </c>
      <c r="F70" s="36">
        <v>3</v>
      </c>
      <c r="G70" s="36">
        <v>2</v>
      </c>
      <c r="H70" s="11">
        <v>5</v>
      </c>
      <c r="I70" s="32" t="s">
        <v>102</v>
      </c>
      <c r="J70" s="1"/>
      <c r="K70" s="1"/>
    </row>
    <row r="71" ht="20" customHeight="1" spans="1:11" x14ac:dyDescent="0.25">
      <c r="A71" s="1"/>
      <c r="B71" s="37" t="s">
        <v>69</v>
      </c>
      <c r="C71" s="37" t="s">
        <v>61</v>
      </c>
      <c r="D71" s="19" t="s">
        <v>104</v>
      </c>
      <c r="E71" s="19" t="s">
        <v>104</v>
      </c>
      <c r="F71" s="38" t="s">
        <v>104</v>
      </c>
      <c r="G71" s="38" t="s">
        <v>104</v>
      </c>
      <c r="H71" s="39" t="s">
        <v>104</v>
      </c>
      <c r="I71" s="19" t="s">
        <v>105</v>
      </c>
      <c r="J71" s="1"/>
      <c r="K71" s="1"/>
    </row>
    <row r="72" ht="20" customHeight="1" spans="1:11" x14ac:dyDescent="0.25">
      <c r="A72" s="1"/>
      <c r="B72" s="37" t="s">
        <v>69</v>
      </c>
      <c r="C72" s="37" t="s">
        <v>65</v>
      </c>
      <c r="D72" s="19" t="s">
        <v>104</v>
      </c>
      <c r="E72" s="19" t="s">
        <v>104</v>
      </c>
      <c r="F72" s="38" t="s">
        <v>104</v>
      </c>
      <c r="G72" s="38" t="s">
        <v>104</v>
      </c>
      <c r="H72" s="39" t="s">
        <v>104</v>
      </c>
      <c r="I72" s="19" t="s">
        <v>105</v>
      </c>
      <c r="J72" s="1"/>
      <c r="K72" s="1"/>
    </row>
    <row r="73" ht="20" customHeight="1" spans="1:11" x14ac:dyDescent="0.25">
      <c r="A73" s="1"/>
      <c r="B73" s="37" t="s">
        <v>72</v>
      </c>
      <c r="C73" s="37" t="s">
        <v>50</v>
      </c>
      <c r="D73" s="19" t="s">
        <v>104</v>
      </c>
      <c r="E73" s="19" t="s">
        <v>104</v>
      </c>
      <c r="F73" s="38" t="s">
        <v>104</v>
      </c>
      <c r="G73" s="38" t="s">
        <v>104</v>
      </c>
      <c r="H73" s="39" t="s">
        <v>104</v>
      </c>
      <c r="I73" s="19" t="s">
        <v>105</v>
      </c>
      <c r="J73" s="1"/>
      <c r="K73" s="1"/>
    </row>
    <row r="74" ht="20" customHeight="1" spans="1:11" x14ac:dyDescent="0.25">
      <c r="A74" s="1"/>
      <c r="B74" s="37" t="s">
        <v>72</v>
      </c>
      <c r="C74" s="37" t="s">
        <v>51</v>
      </c>
      <c r="D74" s="19" t="s">
        <v>104</v>
      </c>
      <c r="E74" s="19" t="s">
        <v>104</v>
      </c>
      <c r="F74" s="38" t="s">
        <v>104</v>
      </c>
      <c r="G74" s="38" t="s">
        <v>104</v>
      </c>
      <c r="H74" s="39" t="s">
        <v>104</v>
      </c>
      <c r="I74" s="19" t="s">
        <v>105</v>
      </c>
      <c r="J74" s="1"/>
      <c r="K74" s="1"/>
    </row>
    <row r="75" ht="20" customHeight="1" spans="1:11" x14ac:dyDescent="0.25">
      <c r="A75" s="1"/>
      <c r="B75" s="37" t="s">
        <v>72</v>
      </c>
      <c r="C75" s="37" t="s">
        <v>52</v>
      </c>
      <c r="D75" s="19" t="s">
        <v>104</v>
      </c>
      <c r="E75" s="19" t="s">
        <v>104</v>
      </c>
      <c r="F75" s="38" t="s">
        <v>104</v>
      </c>
      <c r="G75" s="38" t="s">
        <v>104</v>
      </c>
      <c r="H75" s="39" t="s">
        <v>104</v>
      </c>
      <c r="I75" s="19" t="s">
        <v>105</v>
      </c>
      <c r="J75" s="1"/>
      <c r="K75" s="1"/>
    </row>
    <row r="76" ht="20" customHeight="1" spans="1:11" x14ac:dyDescent="0.25">
      <c r="A76" s="1"/>
      <c r="B76" s="34" t="s">
        <v>72</v>
      </c>
      <c r="C76" s="34" t="s">
        <v>56</v>
      </c>
      <c r="D76" s="35" t="s">
        <v>44</v>
      </c>
      <c r="E76" s="35" t="s">
        <v>43</v>
      </c>
      <c r="F76" s="36">
        <v>1</v>
      </c>
      <c r="G76" s="36">
        <v>2</v>
      </c>
      <c r="H76" s="11">
        <v>3</v>
      </c>
      <c r="I76" s="32" t="s">
        <v>102</v>
      </c>
      <c r="J76" s="1"/>
      <c r="K76" s="1"/>
    </row>
    <row r="77" ht="20" customHeight="1" spans="1:11" x14ac:dyDescent="0.25">
      <c r="A77" s="1"/>
      <c r="B77" s="37" t="s">
        <v>72</v>
      </c>
      <c r="C77" s="37" t="s">
        <v>57</v>
      </c>
      <c r="D77" s="19" t="s">
        <v>104</v>
      </c>
      <c r="E77" s="19" t="s">
        <v>104</v>
      </c>
      <c r="F77" s="38" t="s">
        <v>104</v>
      </c>
      <c r="G77" s="38" t="s">
        <v>104</v>
      </c>
      <c r="H77" s="39" t="s">
        <v>104</v>
      </c>
      <c r="I77" s="19" t="s">
        <v>105</v>
      </c>
      <c r="J77" s="1"/>
      <c r="K77" s="1"/>
    </row>
    <row r="78" ht="20" customHeight="1" spans="1:11" x14ac:dyDescent="0.25">
      <c r="A78" s="1"/>
      <c r="B78" s="34" t="s">
        <v>72</v>
      </c>
      <c r="C78" s="34" t="s">
        <v>61</v>
      </c>
      <c r="D78" s="35" t="s">
        <v>42</v>
      </c>
      <c r="E78" s="35" t="s">
        <v>42</v>
      </c>
      <c r="F78" s="36">
        <v>3</v>
      </c>
      <c r="G78" s="36">
        <v>3</v>
      </c>
      <c r="H78" s="11">
        <v>6</v>
      </c>
      <c r="I78" s="32" t="s">
        <v>102</v>
      </c>
      <c r="J78" s="1"/>
      <c r="K78" s="1"/>
    </row>
    <row r="79" ht="20" customHeight="1" spans="1:11" x14ac:dyDescent="0.25">
      <c r="A79" s="1"/>
      <c r="B79" s="34" t="s">
        <v>72</v>
      </c>
      <c r="C79" s="34" t="s">
        <v>65</v>
      </c>
      <c r="D79" s="35" t="s">
        <v>43</v>
      </c>
      <c r="E79" s="35" t="s">
        <v>44</v>
      </c>
      <c r="F79" s="36">
        <v>2</v>
      </c>
      <c r="G79" s="36">
        <v>1</v>
      </c>
      <c r="H79" s="11">
        <v>3</v>
      </c>
      <c r="I79" s="32" t="s">
        <v>102</v>
      </c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mergeCells count="3">
    <mergeCell ref="B2:I2"/>
    <mergeCell ref="B5:I5"/>
    <mergeCell ref="B29:I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8" customWidth="1"/>
    <col min="4" max="5" width="14" customWidth="1"/>
    <col min="6" max="8" width="8" customWidth="1"/>
    <col min="9" max="9" width="14" customWidth="1"/>
    <col min="10" max="10" width="4" customWidth="1"/>
  </cols>
  <sheetData>
    <row r="1" ht="12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40" customHeight="1" spans="1:11" x14ac:dyDescent="0.25">
      <c r="A2" s="1"/>
      <c r="B2" s="15" t="s">
        <v>106</v>
      </c>
      <c r="C2" s="15"/>
      <c r="D2" s="15"/>
      <c r="E2" s="15"/>
      <c r="F2" s="15"/>
      <c r="G2" s="15"/>
      <c r="H2" s="15"/>
      <c r="I2" s="15"/>
      <c r="J2" s="1"/>
      <c r="K2" s="1"/>
    </row>
    <row r="3" ht="4" customHeight="1" spans="1:11" x14ac:dyDescent="0.25">
      <c r="A3" s="1"/>
      <c r="B3" s="4"/>
      <c r="C3" s="4"/>
      <c r="D3" s="4"/>
      <c r="E3" s="4"/>
      <c r="F3" s="4"/>
      <c r="G3" s="4"/>
      <c r="H3" s="4"/>
      <c r="I3" s="4"/>
      <c r="J3" s="1"/>
      <c r="K3" s="1"/>
    </row>
    <row r="4" ht="8" customHeight="1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0" customHeight="1" spans="1:11" x14ac:dyDescent="0.25">
      <c r="A5" s="1"/>
      <c r="B5" s="16" t="s">
        <v>107</v>
      </c>
      <c r="C5" s="16"/>
      <c r="D5" s="16"/>
      <c r="E5" s="16"/>
      <c r="F5" s="16"/>
      <c r="G5" s="16"/>
      <c r="H5" s="16"/>
      <c r="I5" s="16"/>
      <c r="J5" s="1"/>
      <c r="K5" s="1"/>
    </row>
    <row r="6" ht="8" customHeight="1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" customHeight="1" spans="1:11" x14ac:dyDescent="0.25">
      <c r="A7" s="1"/>
      <c r="B7" s="5" t="s">
        <v>108</v>
      </c>
      <c r="C7" s="5"/>
      <c r="D7" s="5"/>
      <c r="E7" s="5"/>
      <c r="F7" s="5"/>
      <c r="G7" s="5"/>
      <c r="H7" s="5"/>
      <c r="I7" s="5"/>
      <c r="J7" s="1"/>
      <c r="K7" s="1"/>
    </row>
    <row r="8" ht="22" customHeight="1" spans="1:11" x14ac:dyDescent="0.25">
      <c r="A8" s="1"/>
      <c r="B8" s="18" t="s">
        <v>94</v>
      </c>
      <c r="C8" s="18" t="s">
        <v>95</v>
      </c>
      <c r="D8" s="18" t="s">
        <v>109</v>
      </c>
      <c r="E8" s="18" t="s">
        <v>110</v>
      </c>
      <c r="F8" s="18" t="s">
        <v>98</v>
      </c>
      <c r="G8" s="18" t="s">
        <v>99</v>
      </c>
      <c r="H8" s="18" t="s">
        <v>100</v>
      </c>
      <c r="I8" s="18" t="s">
        <v>111</v>
      </c>
      <c r="J8" s="1"/>
      <c r="K8" s="1"/>
    </row>
    <row r="9" ht="22" customHeight="1" spans="1:11" x14ac:dyDescent="0.25">
      <c r="A9" s="1"/>
      <c r="B9" s="40" t="s">
        <v>53</v>
      </c>
      <c r="C9" s="40" t="s">
        <v>50</v>
      </c>
      <c r="D9" s="41" t="s">
        <v>42</v>
      </c>
      <c r="E9" s="41" t="s">
        <v>42</v>
      </c>
      <c r="F9" s="42">
        <v>3</v>
      </c>
      <c r="G9" s="42">
        <v>3</v>
      </c>
      <c r="H9" s="43">
        <v>6</v>
      </c>
      <c r="I9" s="32" t="s">
        <v>112</v>
      </c>
      <c r="J9" s="1"/>
      <c r="K9" s="1"/>
    </row>
    <row r="10" ht="22" customHeight="1" spans="1:11" x14ac:dyDescent="0.25">
      <c r="A10" s="1"/>
      <c r="B10" s="40" t="s">
        <v>62</v>
      </c>
      <c r="C10" s="40" t="s">
        <v>52</v>
      </c>
      <c r="D10" s="41" t="s">
        <v>42</v>
      </c>
      <c r="E10" s="41" t="s">
        <v>42</v>
      </c>
      <c r="F10" s="42">
        <v>3</v>
      </c>
      <c r="G10" s="42">
        <v>3</v>
      </c>
      <c r="H10" s="43">
        <v>6</v>
      </c>
      <c r="I10" s="32" t="s">
        <v>112</v>
      </c>
      <c r="J10" s="1"/>
      <c r="K10" s="1"/>
    </row>
    <row r="11" ht="22" customHeight="1" spans="1:11" x14ac:dyDescent="0.25">
      <c r="A11" s="1"/>
      <c r="B11" s="40" t="s">
        <v>66</v>
      </c>
      <c r="C11" s="40" t="s">
        <v>56</v>
      </c>
      <c r="D11" s="41" t="s">
        <v>42</v>
      </c>
      <c r="E11" s="41" t="s">
        <v>42</v>
      </c>
      <c r="F11" s="42">
        <v>3</v>
      </c>
      <c r="G11" s="42">
        <v>3</v>
      </c>
      <c r="H11" s="43">
        <v>6</v>
      </c>
      <c r="I11" s="32" t="s">
        <v>112</v>
      </c>
      <c r="J11" s="1"/>
      <c r="K11" s="1"/>
    </row>
    <row r="12" ht="22" customHeight="1" spans="1:11" x14ac:dyDescent="0.25">
      <c r="A12" s="1"/>
      <c r="B12" s="40" t="s">
        <v>72</v>
      </c>
      <c r="C12" s="40" t="s">
        <v>61</v>
      </c>
      <c r="D12" s="41" t="s">
        <v>42</v>
      </c>
      <c r="E12" s="41" t="s">
        <v>42</v>
      </c>
      <c r="F12" s="42">
        <v>3</v>
      </c>
      <c r="G12" s="42">
        <v>3</v>
      </c>
      <c r="H12" s="43">
        <v>6</v>
      </c>
      <c r="I12" s="32" t="s">
        <v>112</v>
      </c>
      <c r="J12" s="1"/>
      <c r="K12" s="1"/>
    </row>
    <row r="13" ht="22" customHeight="1" spans="1:11" x14ac:dyDescent="0.25">
      <c r="A13" s="1"/>
      <c r="B13" s="40" t="s">
        <v>47</v>
      </c>
      <c r="C13" s="40" t="s">
        <v>50</v>
      </c>
      <c r="D13" s="41" t="s">
        <v>42</v>
      </c>
      <c r="E13" s="41" t="s">
        <v>43</v>
      </c>
      <c r="F13" s="42">
        <v>3</v>
      </c>
      <c r="G13" s="42">
        <v>2</v>
      </c>
      <c r="H13" s="43">
        <v>5</v>
      </c>
      <c r="I13" s="32" t="s">
        <v>112</v>
      </c>
      <c r="J13" s="1"/>
      <c r="K13" s="1"/>
    </row>
    <row r="14" ht="22" customHeight="1" spans="1:11" x14ac:dyDescent="0.25">
      <c r="A14" s="1"/>
      <c r="B14" s="40" t="s">
        <v>47</v>
      </c>
      <c r="C14" s="40" t="s">
        <v>51</v>
      </c>
      <c r="D14" s="41" t="s">
        <v>43</v>
      </c>
      <c r="E14" s="41" t="s">
        <v>42</v>
      </c>
      <c r="F14" s="42">
        <v>2</v>
      </c>
      <c r="G14" s="42">
        <v>3</v>
      </c>
      <c r="H14" s="43">
        <v>5</v>
      </c>
      <c r="I14" s="32" t="s">
        <v>112</v>
      </c>
      <c r="J14" s="1"/>
      <c r="K14" s="1"/>
    </row>
    <row r="15" ht="22" customHeight="1" spans="1:11" x14ac:dyDescent="0.25">
      <c r="A15" s="1"/>
      <c r="B15" s="40" t="s">
        <v>58</v>
      </c>
      <c r="C15" s="40" t="s">
        <v>51</v>
      </c>
      <c r="D15" s="41" t="s">
        <v>42</v>
      </c>
      <c r="E15" s="41" t="s">
        <v>43</v>
      </c>
      <c r="F15" s="42">
        <v>3</v>
      </c>
      <c r="G15" s="42">
        <v>2</v>
      </c>
      <c r="H15" s="43">
        <v>5</v>
      </c>
      <c r="I15" s="32" t="s">
        <v>112</v>
      </c>
      <c r="J15" s="1"/>
      <c r="K15" s="1"/>
    </row>
    <row r="16" ht="22" customHeight="1" spans="1:11" x14ac:dyDescent="0.25">
      <c r="A16" s="1"/>
      <c r="B16" s="40" t="s">
        <v>58</v>
      </c>
      <c r="C16" s="40" t="s">
        <v>57</v>
      </c>
      <c r="D16" s="41" t="s">
        <v>43</v>
      </c>
      <c r="E16" s="41" t="s">
        <v>42</v>
      </c>
      <c r="F16" s="42">
        <v>2</v>
      </c>
      <c r="G16" s="42">
        <v>3</v>
      </c>
      <c r="H16" s="43">
        <v>5</v>
      </c>
      <c r="I16" s="32" t="s">
        <v>112</v>
      </c>
      <c r="J16" s="1"/>
      <c r="K16" s="1"/>
    </row>
    <row r="17" ht="22" customHeight="1" spans="1:11" x14ac:dyDescent="0.25">
      <c r="A17" s="1"/>
      <c r="B17" s="40" t="s">
        <v>69</v>
      </c>
      <c r="C17" s="40" t="s">
        <v>57</v>
      </c>
      <c r="D17" s="41" t="s">
        <v>42</v>
      </c>
      <c r="E17" s="41" t="s">
        <v>43</v>
      </c>
      <c r="F17" s="42">
        <v>3</v>
      </c>
      <c r="G17" s="42">
        <v>2</v>
      </c>
      <c r="H17" s="43">
        <v>5</v>
      </c>
      <c r="I17" s="32" t="s">
        <v>112</v>
      </c>
      <c r="J17" s="1"/>
      <c r="K17" s="1"/>
    </row>
    <row r="18" ht="22" customHeight="1" spans="1:11" x14ac:dyDescent="0.25">
      <c r="A18" s="1"/>
      <c r="B18" s="40" t="s">
        <v>62</v>
      </c>
      <c r="C18" s="40" t="s">
        <v>65</v>
      </c>
      <c r="D18" s="41" t="s">
        <v>44</v>
      </c>
      <c r="E18" s="41" t="s">
        <v>42</v>
      </c>
      <c r="F18" s="42">
        <v>1</v>
      </c>
      <c r="G18" s="42">
        <v>3</v>
      </c>
      <c r="H18" s="43">
        <v>4</v>
      </c>
      <c r="I18" s="32" t="s">
        <v>112</v>
      </c>
      <c r="J18" s="1"/>
      <c r="K18" s="1"/>
    </row>
    <row r="19" ht="22" customHeight="1" spans="1:11" x14ac:dyDescent="0.25">
      <c r="A19" s="1"/>
      <c r="B19" s="40" t="s">
        <v>66</v>
      </c>
      <c r="C19" s="40" t="s">
        <v>65</v>
      </c>
      <c r="D19" s="41" t="s">
        <v>43</v>
      </c>
      <c r="E19" s="41" t="s">
        <v>43</v>
      </c>
      <c r="F19" s="42">
        <v>2</v>
      </c>
      <c r="G19" s="42">
        <v>2</v>
      </c>
      <c r="H19" s="43">
        <v>4</v>
      </c>
      <c r="I19" s="32" t="s">
        <v>112</v>
      </c>
      <c r="J19" s="1"/>
      <c r="K19" s="1"/>
    </row>
    <row r="20" ht="22" customHeight="1" spans="1:11" x14ac:dyDescent="0.25">
      <c r="A20" s="1"/>
      <c r="B20" s="44" t="s">
        <v>47</v>
      </c>
      <c r="C20" s="44" t="s">
        <v>52</v>
      </c>
      <c r="D20" s="45" t="s">
        <v>44</v>
      </c>
      <c r="E20" s="45" t="s">
        <v>43</v>
      </c>
      <c r="F20" s="46">
        <v>1</v>
      </c>
      <c r="G20" s="46">
        <v>2</v>
      </c>
      <c r="H20" s="45">
        <v>3</v>
      </c>
      <c r="I20" s="19" t="s">
        <v>113</v>
      </c>
      <c r="J20" s="1"/>
      <c r="K20" s="1"/>
    </row>
    <row r="21" ht="22" customHeight="1" spans="1:11" x14ac:dyDescent="0.25">
      <c r="A21" s="1"/>
      <c r="B21" s="40" t="s">
        <v>53</v>
      </c>
      <c r="C21" s="40" t="s">
        <v>56</v>
      </c>
      <c r="D21" s="41" t="s">
        <v>43</v>
      </c>
      <c r="E21" s="41" t="s">
        <v>44</v>
      </c>
      <c r="F21" s="42">
        <v>2</v>
      </c>
      <c r="G21" s="42">
        <v>1</v>
      </c>
      <c r="H21" s="43">
        <v>3</v>
      </c>
      <c r="I21" s="32" t="s">
        <v>112</v>
      </c>
      <c r="J21" s="1"/>
      <c r="K21" s="1"/>
    </row>
    <row r="22" ht="22" customHeight="1" spans="1:11" x14ac:dyDescent="0.25">
      <c r="A22" s="1"/>
      <c r="B22" s="44" t="s">
        <v>58</v>
      </c>
      <c r="C22" s="44" t="s">
        <v>61</v>
      </c>
      <c r="D22" s="45" t="s">
        <v>44</v>
      </c>
      <c r="E22" s="45" t="s">
        <v>43</v>
      </c>
      <c r="F22" s="46">
        <v>1</v>
      </c>
      <c r="G22" s="46">
        <v>2</v>
      </c>
      <c r="H22" s="45">
        <v>3</v>
      </c>
      <c r="I22" s="19" t="s">
        <v>113</v>
      </c>
      <c r="J22" s="1"/>
      <c r="K22" s="1"/>
    </row>
    <row r="23" ht="22" customHeight="1" spans="1:11" x14ac:dyDescent="0.25">
      <c r="A23" s="1"/>
      <c r="B23" s="44" t="s">
        <v>62</v>
      </c>
      <c r="C23" s="44" t="s">
        <v>61</v>
      </c>
      <c r="D23" s="45" t="s">
        <v>43</v>
      </c>
      <c r="E23" s="45" t="s">
        <v>44</v>
      </c>
      <c r="F23" s="46">
        <v>2</v>
      </c>
      <c r="G23" s="46">
        <v>1</v>
      </c>
      <c r="H23" s="45">
        <v>3</v>
      </c>
      <c r="I23" s="19" t="s">
        <v>113</v>
      </c>
      <c r="J23" s="1"/>
      <c r="K23" s="1"/>
    </row>
    <row r="24" ht="22" customHeight="1" spans="1:11" x14ac:dyDescent="0.25">
      <c r="A24" s="1"/>
      <c r="B24" s="44" t="s">
        <v>69</v>
      </c>
      <c r="C24" s="44" t="s">
        <v>50</v>
      </c>
      <c r="D24" s="45" t="s">
        <v>43</v>
      </c>
      <c r="E24" s="45" t="s">
        <v>44</v>
      </c>
      <c r="F24" s="46">
        <v>2</v>
      </c>
      <c r="G24" s="46">
        <v>1</v>
      </c>
      <c r="H24" s="45">
        <v>3</v>
      </c>
      <c r="I24" s="19" t="s">
        <v>113</v>
      </c>
      <c r="J24" s="1"/>
      <c r="K24" s="1"/>
    </row>
    <row r="25" ht="22" customHeight="1" spans="1:11" x14ac:dyDescent="0.25">
      <c r="A25" s="1"/>
      <c r="B25" s="44" t="s">
        <v>72</v>
      </c>
      <c r="C25" s="44" t="s">
        <v>56</v>
      </c>
      <c r="D25" s="45" t="s">
        <v>44</v>
      </c>
      <c r="E25" s="45" t="s">
        <v>43</v>
      </c>
      <c r="F25" s="46">
        <v>1</v>
      </c>
      <c r="G25" s="46">
        <v>2</v>
      </c>
      <c r="H25" s="45">
        <v>3</v>
      </c>
      <c r="I25" s="19" t="s">
        <v>113</v>
      </c>
      <c r="J25" s="1"/>
      <c r="K25" s="1"/>
    </row>
    <row r="26" ht="22" customHeight="1" spans="1:11" x14ac:dyDescent="0.25">
      <c r="A26" s="1"/>
      <c r="B26" s="44" t="s">
        <v>72</v>
      </c>
      <c r="C26" s="44" t="s">
        <v>65</v>
      </c>
      <c r="D26" s="45" t="s">
        <v>43</v>
      </c>
      <c r="E26" s="45" t="s">
        <v>44</v>
      </c>
      <c r="F26" s="46">
        <v>2</v>
      </c>
      <c r="G26" s="46">
        <v>1</v>
      </c>
      <c r="H26" s="45">
        <v>3</v>
      </c>
      <c r="I26" s="19" t="s">
        <v>113</v>
      </c>
      <c r="J26" s="1"/>
      <c r="K26" s="1"/>
    </row>
    <row r="27" ht="22" customHeight="1" spans="1:11" x14ac:dyDescent="0.25">
      <c r="A27" s="1"/>
      <c r="B27" s="44" t="s">
        <v>53</v>
      </c>
      <c r="C27" s="44" t="s">
        <v>57</v>
      </c>
      <c r="D27" s="45" t="s">
        <v>44</v>
      </c>
      <c r="E27" s="45" t="s">
        <v>44</v>
      </c>
      <c r="F27" s="46">
        <v>1</v>
      </c>
      <c r="G27" s="46">
        <v>1</v>
      </c>
      <c r="H27" s="45">
        <v>2</v>
      </c>
      <c r="I27" s="19" t="s">
        <v>113</v>
      </c>
      <c r="J27" s="1"/>
      <c r="K27" s="1"/>
    </row>
    <row r="28" ht="22" customHeight="1" spans="1:11" x14ac:dyDescent="0.25">
      <c r="A28" s="1"/>
      <c r="B28" s="44" t="s">
        <v>66</v>
      </c>
      <c r="C28" s="44" t="s">
        <v>51</v>
      </c>
      <c r="D28" s="45" t="s">
        <v>44</v>
      </c>
      <c r="E28" s="45" t="s">
        <v>44</v>
      </c>
      <c r="F28" s="46">
        <v>1</v>
      </c>
      <c r="G28" s="46">
        <v>1</v>
      </c>
      <c r="H28" s="45">
        <v>2</v>
      </c>
      <c r="I28" s="19" t="s">
        <v>113</v>
      </c>
      <c r="J28" s="1"/>
      <c r="K28" s="1"/>
    </row>
    <row r="29" ht="22" customHeight="1" spans="1:11" x14ac:dyDescent="0.25">
      <c r="A29" s="1"/>
      <c r="B29" s="40" t="s">
        <v>69</v>
      </c>
      <c r="C29" s="40" t="s">
        <v>52</v>
      </c>
      <c r="D29" s="41" t="s">
        <v>44</v>
      </c>
      <c r="E29" s="41" t="s">
        <v>44</v>
      </c>
      <c r="F29" s="42">
        <v>1</v>
      </c>
      <c r="G29" s="42">
        <v>1</v>
      </c>
      <c r="H29" s="43">
        <v>2</v>
      </c>
      <c r="I29" s="32" t="s">
        <v>112</v>
      </c>
      <c r="J29" s="1"/>
      <c r="K29" s="1"/>
    </row>
    <row r="30" ht="10" customHeight="1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24" customHeight="1" spans="1:11" x14ac:dyDescent="0.25">
      <c r="A31" s="1"/>
      <c r="B31" s="5" t="s">
        <v>114</v>
      </c>
      <c r="C31" s="5"/>
      <c r="D31" s="5"/>
      <c r="E31" s="5"/>
      <c r="F31" s="5"/>
      <c r="G31" s="5"/>
      <c r="H31" s="5"/>
      <c r="I31" s="5"/>
      <c r="J31" s="1"/>
      <c r="K31" s="1"/>
    </row>
    <row r="32" ht="22" customHeight="1" spans="1:11" x14ac:dyDescent="0.25">
      <c r="A32" s="1"/>
      <c r="B32" s="18" t="s">
        <v>94</v>
      </c>
      <c r="C32" s="18" t="s">
        <v>95</v>
      </c>
      <c r="D32" s="18" t="s">
        <v>109</v>
      </c>
      <c r="E32" s="18" t="s">
        <v>110</v>
      </c>
      <c r="F32" s="18" t="s">
        <v>100</v>
      </c>
      <c r="G32" s="18" t="s">
        <v>115</v>
      </c>
      <c r="H32" s="1"/>
      <c r="I32" s="1"/>
      <c r="J32" s="1"/>
      <c r="K32" s="1"/>
    </row>
    <row r="33" ht="22" customHeight="1" spans="1:11" x14ac:dyDescent="0.25">
      <c r="A33" s="1"/>
      <c r="B33" s="38" t="s">
        <v>47</v>
      </c>
      <c r="C33" s="38" t="s">
        <v>52</v>
      </c>
      <c r="D33" s="38" t="s">
        <v>44</v>
      </c>
      <c r="E33" s="38" t="s">
        <v>43</v>
      </c>
      <c r="F33" s="38">
        <v>3</v>
      </c>
      <c r="G33" s="47" t="s">
        <v>116</v>
      </c>
      <c r="H33" s="47"/>
      <c r="I33" s="47"/>
      <c r="J33" s="1"/>
      <c r="K33" s="1"/>
    </row>
    <row r="34" ht="22" customHeight="1" spans="1:11" x14ac:dyDescent="0.25">
      <c r="A34" s="1"/>
      <c r="B34" s="38" t="s">
        <v>58</v>
      </c>
      <c r="C34" s="38" t="s">
        <v>61</v>
      </c>
      <c r="D34" s="38" t="s">
        <v>44</v>
      </c>
      <c r="E34" s="38" t="s">
        <v>43</v>
      </c>
      <c r="F34" s="38">
        <v>3</v>
      </c>
      <c r="G34" s="47" t="s">
        <v>117</v>
      </c>
      <c r="H34" s="47"/>
      <c r="I34" s="47"/>
      <c r="J34" s="1"/>
      <c r="K34" s="1"/>
    </row>
    <row r="35" ht="22" customHeight="1" spans="1:11" x14ac:dyDescent="0.25">
      <c r="A35" s="1"/>
      <c r="B35" s="38" t="s">
        <v>62</v>
      </c>
      <c r="C35" s="38" t="s">
        <v>61</v>
      </c>
      <c r="D35" s="38" t="s">
        <v>43</v>
      </c>
      <c r="E35" s="38" t="s">
        <v>44</v>
      </c>
      <c r="F35" s="38">
        <v>3</v>
      </c>
      <c r="G35" s="47" t="s">
        <v>118</v>
      </c>
      <c r="H35" s="47"/>
      <c r="I35" s="47"/>
      <c r="J35" s="1"/>
      <c r="K35" s="1"/>
    </row>
    <row r="36" ht="22" customHeight="1" spans="1:11" x14ac:dyDescent="0.25">
      <c r="A36" s="1"/>
      <c r="B36" s="38" t="s">
        <v>69</v>
      </c>
      <c r="C36" s="38" t="s">
        <v>50</v>
      </c>
      <c r="D36" s="38" t="s">
        <v>43</v>
      </c>
      <c r="E36" s="38" t="s">
        <v>44</v>
      </c>
      <c r="F36" s="38">
        <v>3</v>
      </c>
      <c r="G36" s="47" t="s">
        <v>119</v>
      </c>
      <c r="H36" s="47"/>
      <c r="I36" s="47"/>
      <c r="J36" s="1"/>
      <c r="K36" s="1"/>
    </row>
    <row r="37" ht="22" customHeight="1" spans="1:11" x14ac:dyDescent="0.25">
      <c r="A37" s="1"/>
      <c r="B37" s="38" t="s">
        <v>72</v>
      </c>
      <c r="C37" s="38" t="s">
        <v>56</v>
      </c>
      <c r="D37" s="38" t="s">
        <v>44</v>
      </c>
      <c r="E37" s="38" t="s">
        <v>43</v>
      </c>
      <c r="F37" s="38">
        <v>3</v>
      </c>
      <c r="G37" s="47" t="s">
        <v>120</v>
      </c>
      <c r="H37" s="47"/>
      <c r="I37" s="47"/>
      <c r="J37" s="1"/>
      <c r="K37" s="1"/>
    </row>
    <row r="38" ht="22" customHeight="1" spans="1:11" x14ac:dyDescent="0.25">
      <c r="A38" s="1"/>
      <c r="B38" s="38" t="s">
        <v>72</v>
      </c>
      <c r="C38" s="38" t="s">
        <v>65</v>
      </c>
      <c r="D38" s="38" t="s">
        <v>43</v>
      </c>
      <c r="E38" s="38" t="s">
        <v>44</v>
      </c>
      <c r="F38" s="38">
        <v>3</v>
      </c>
      <c r="G38" s="47" t="s">
        <v>121</v>
      </c>
      <c r="H38" s="47"/>
      <c r="I38" s="47"/>
      <c r="J38" s="1"/>
      <c r="K38" s="1"/>
    </row>
    <row r="39" ht="22" customHeight="1" spans="1:11" x14ac:dyDescent="0.25">
      <c r="A39" s="1"/>
      <c r="B39" s="38" t="s">
        <v>53</v>
      </c>
      <c r="C39" s="38" t="s">
        <v>57</v>
      </c>
      <c r="D39" s="38" t="s">
        <v>44</v>
      </c>
      <c r="E39" s="38" t="s">
        <v>44</v>
      </c>
      <c r="F39" s="38">
        <v>2</v>
      </c>
      <c r="G39" s="47" t="s">
        <v>122</v>
      </c>
      <c r="H39" s="47"/>
      <c r="I39" s="47"/>
      <c r="J39" s="1"/>
      <c r="K39" s="1"/>
    </row>
    <row r="40" ht="22" customHeight="1" spans="1:11" x14ac:dyDescent="0.25">
      <c r="A40" s="1"/>
      <c r="B40" s="38" t="s">
        <v>66</v>
      </c>
      <c r="C40" s="38" t="s">
        <v>51</v>
      </c>
      <c r="D40" s="38" t="s">
        <v>44</v>
      </c>
      <c r="E40" s="38" t="s">
        <v>44</v>
      </c>
      <c r="F40" s="38">
        <v>2</v>
      </c>
      <c r="G40" s="47" t="s">
        <v>123</v>
      </c>
      <c r="H40" s="47"/>
      <c r="I40" s="47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</sheetData>
  <mergeCells count="12">
    <mergeCell ref="B2:I2"/>
    <mergeCell ref="B5:I5"/>
    <mergeCell ref="B7:I7"/>
    <mergeCell ref="B31:I31"/>
    <mergeCell ref="G33:I33"/>
    <mergeCell ref="G34:I34"/>
    <mergeCell ref="G35:I35"/>
    <mergeCell ref="G36:I36"/>
    <mergeCell ref="G37:I37"/>
    <mergeCell ref="G38:I38"/>
    <mergeCell ref="G39:I39"/>
    <mergeCell ref="G40:I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8" customWidth="1"/>
    <col min="4" max="4" width="16" customWidth="1"/>
    <col min="5" max="6" width="8" customWidth="1"/>
    <col min="7" max="7" width="10" customWidth="1"/>
  </cols>
  <sheetData>
    <row r="1" ht="12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40" customHeight="1" spans="1:9" x14ac:dyDescent="0.25">
      <c r="A2" s="1"/>
      <c r="B2" s="15" t="s">
        <v>124</v>
      </c>
      <c r="C2" s="15"/>
      <c r="D2" s="15"/>
      <c r="E2" s="15"/>
      <c r="F2" s="15"/>
      <c r="G2" s="15"/>
      <c r="H2" s="1"/>
      <c r="I2" s="1"/>
    </row>
    <row r="3" ht="4" customHeight="1" spans="1:9" x14ac:dyDescent="0.25">
      <c r="A3" s="1"/>
      <c r="B3" s="4"/>
      <c r="C3" s="4"/>
      <c r="D3" s="4"/>
      <c r="E3" s="4"/>
      <c r="F3" s="4"/>
      <c r="G3" s="4"/>
      <c r="H3" s="1"/>
      <c r="I3" s="1"/>
    </row>
    <row r="4" ht="8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24" customHeight="1" spans="1:9" x14ac:dyDescent="0.25">
      <c r="A5" s="1"/>
      <c r="B5" s="5" t="s">
        <v>125</v>
      </c>
      <c r="C5" s="5"/>
      <c r="D5" s="5"/>
      <c r="E5" s="5"/>
      <c r="F5" s="5"/>
      <c r="G5" s="5"/>
      <c r="H5" s="1"/>
      <c r="I5" s="1"/>
    </row>
    <row r="6" ht="22" customHeight="1" spans="1:9" x14ac:dyDescent="0.25">
      <c r="A6" s="1"/>
      <c r="B6" s="18" t="s">
        <v>94</v>
      </c>
      <c r="C6" s="18" t="s">
        <v>95</v>
      </c>
      <c r="D6" s="18" t="s">
        <v>126</v>
      </c>
      <c r="E6" s="18" t="s">
        <v>98</v>
      </c>
      <c r="F6" s="18" t="s">
        <v>99</v>
      </c>
      <c r="G6" s="18" t="s">
        <v>100</v>
      </c>
      <c r="H6" s="1"/>
      <c r="I6" s="1"/>
    </row>
    <row r="7" ht="24" customHeight="1" spans="1:9" x14ac:dyDescent="0.25">
      <c r="A7" s="1"/>
      <c r="B7" s="48" t="s">
        <v>53</v>
      </c>
      <c r="C7" s="48" t="s">
        <v>50</v>
      </c>
      <c r="D7" s="49" t="s">
        <v>127</v>
      </c>
      <c r="E7" s="42">
        <v>3</v>
      </c>
      <c r="F7" s="42">
        <v>3</v>
      </c>
      <c r="G7" s="50">
        <v>6</v>
      </c>
      <c r="H7" s="1"/>
      <c r="I7" s="1"/>
    </row>
    <row r="8" ht="24" customHeight="1" spans="1:9" x14ac:dyDescent="0.25">
      <c r="A8" s="1"/>
      <c r="B8" s="48" t="s">
        <v>62</v>
      </c>
      <c r="C8" s="48" t="s">
        <v>52</v>
      </c>
      <c r="D8" s="49" t="s">
        <v>127</v>
      </c>
      <c r="E8" s="42">
        <v>3</v>
      </c>
      <c r="F8" s="42">
        <v>3</v>
      </c>
      <c r="G8" s="50">
        <v>6</v>
      </c>
      <c r="H8" s="1"/>
      <c r="I8" s="1"/>
    </row>
    <row r="9" ht="24" customHeight="1" spans="1:9" x14ac:dyDescent="0.25">
      <c r="A9" s="1"/>
      <c r="B9" s="48" t="s">
        <v>66</v>
      </c>
      <c r="C9" s="48" t="s">
        <v>56</v>
      </c>
      <c r="D9" s="49" t="s">
        <v>127</v>
      </c>
      <c r="E9" s="42">
        <v>3</v>
      </c>
      <c r="F9" s="42">
        <v>3</v>
      </c>
      <c r="G9" s="50">
        <v>6</v>
      </c>
      <c r="H9" s="1"/>
      <c r="I9" s="1"/>
    </row>
    <row r="10" ht="24" customHeight="1" spans="1:9" x14ac:dyDescent="0.25">
      <c r="A10" s="1"/>
      <c r="B10" s="48" t="s">
        <v>72</v>
      </c>
      <c r="C10" s="48" t="s">
        <v>61</v>
      </c>
      <c r="D10" s="49" t="s">
        <v>127</v>
      </c>
      <c r="E10" s="42">
        <v>3</v>
      </c>
      <c r="F10" s="42">
        <v>3</v>
      </c>
      <c r="G10" s="50">
        <v>6</v>
      </c>
      <c r="H10" s="1"/>
      <c r="I10" s="1"/>
    </row>
    <row r="11" ht="24" customHeight="1" spans="1:9" x14ac:dyDescent="0.25">
      <c r="A11" s="1"/>
      <c r="B11" s="48" t="s">
        <v>47</v>
      </c>
      <c r="C11" s="48" t="s">
        <v>50</v>
      </c>
      <c r="D11" s="49" t="s">
        <v>128</v>
      </c>
      <c r="E11" s="42">
        <v>3</v>
      </c>
      <c r="F11" s="42">
        <v>2</v>
      </c>
      <c r="G11" s="50">
        <v>5</v>
      </c>
      <c r="H11" s="1"/>
      <c r="I11" s="1"/>
    </row>
    <row r="12" ht="24" customHeight="1" spans="1:9" x14ac:dyDescent="0.25">
      <c r="A12" s="1"/>
      <c r="B12" s="48" t="s">
        <v>47</v>
      </c>
      <c r="C12" s="48" t="s">
        <v>51</v>
      </c>
      <c r="D12" s="49" t="s">
        <v>129</v>
      </c>
      <c r="E12" s="42">
        <v>2</v>
      </c>
      <c r="F12" s="42">
        <v>3</v>
      </c>
      <c r="G12" s="50">
        <v>5</v>
      </c>
      <c r="H12" s="1"/>
      <c r="I12" s="1"/>
    </row>
    <row r="13" ht="24" customHeight="1" spans="1:9" x14ac:dyDescent="0.25">
      <c r="A13" s="1"/>
      <c r="B13" s="48" t="s">
        <v>58</v>
      </c>
      <c r="C13" s="48" t="s">
        <v>51</v>
      </c>
      <c r="D13" s="49" t="s">
        <v>128</v>
      </c>
      <c r="E13" s="42">
        <v>3</v>
      </c>
      <c r="F13" s="42">
        <v>2</v>
      </c>
      <c r="G13" s="50">
        <v>5</v>
      </c>
      <c r="H13" s="1"/>
      <c r="I13" s="1"/>
    </row>
    <row r="14" ht="24" customHeight="1" spans="1:9" x14ac:dyDescent="0.25">
      <c r="A14" s="1"/>
      <c r="B14" s="48" t="s">
        <v>58</v>
      </c>
      <c r="C14" s="48" t="s">
        <v>57</v>
      </c>
      <c r="D14" s="49" t="s">
        <v>129</v>
      </c>
      <c r="E14" s="42">
        <v>2</v>
      </c>
      <c r="F14" s="42">
        <v>3</v>
      </c>
      <c r="G14" s="50">
        <v>5</v>
      </c>
      <c r="H14" s="1"/>
      <c r="I14" s="1"/>
    </row>
    <row r="15" ht="24" customHeight="1" spans="1:9" x14ac:dyDescent="0.25">
      <c r="A15" s="1"/>
      <c r="B15" s="48" t="s">
        <v>69</v>
      </c>
      <c r="C15" s="48" t="s">
        <v>57</v>
      </c>
      <c r="D15" s="49" t="s">
        <v>128</v>
      </c>
      <c r="E15" s="42">
        <v>3</v>
      </c>
      <c r="F15" s="42">
        <v>2</v>
      </c>
      <c r="G15" s="50">
        <v>5</v>
      </c>
      <c r="H15" s="1"/>
      <c r="I15" s="1"/>
    </row>
    <row r="16" ht="24" customHeight="1" spans="1:9" x14ac:dyDescent="0.25">
      <c r="A16" s="1"/>
      <c r="B16" s="51" t="s">
        <v>62</v>
      </c>
      <c r="C16" s="51" t="s">
        <v>65</v>
      </c>
      <c r="D16" s="52" t="s">
        <v>130</v>
      </c>
      <c r="E16" s="30">
        <v>1</v>
      </c>
      <c r="F16" s="30">
        <v>3</v>
      </c>
      <c r="G16" s="53">
        <v>4</v>
      </c>
      <c r="H16" s="1"/>
      <c r="I16" s="1"/>
    </row>
    <row r="17" ht="24" customHeight="1" spans="1:9" x14ac:dyDescent="0.25">
      <c r="A17" s="1"/>
      <c r="B17" s="51" t="s">
        <v>66</v>
      </c>
      <c r="C17" s="51" t="s">
        <v>65</v>
      </c>
      <c r="D17" s="52" t="s">
        <v>131</v>
      </c>
      <c r="E17" s="30">
        <v>2</v>
      </c>
      <c r="F17" s="30">
        <v>2</v>
      </c>
      <c r="G17" s="53">
        <v>4</v>
      </c>
      <c r="H17" s="1"/>
      <c r="I17" s="1"/>
    </row>
    <row r="18" ht="24" customHeight="1" spans="1:9" x14ac:dyDescent="0.25">
      <c r="A18" s="1"/>
      <c r="B18" s="51" t="s">
        <v>53</v>
      </c>
      <c r="C18" s="51" t="s">
        <v>56</v>
      </c>
      <c r="D18" s="52" t="s">
        <v>132</v>
      </c>
      <c r="E18" s="30">
        <v>2</v>
      </c>
      <c r="F18" s="30">
        <v>1</v>
      </c>
      <c r="G18" s="53">
        <v>3</v>
      </c>
      <c r="H18" s="1"/>
      <c r="I18" s="1"/>
    </row>
    <row r="19" ht="24" customHeight="1" spans="1:9" x14ac:dyDescent="0.25">
      <c r="A19" s="1"/>
      <c r="B19" s="51" t="s">
        <v>69</v>
      </c>
      <c r="C19" s="51" t="s">
        <v>52</v>
      </c>
      <c r="D19" s="52" t="s">
        <v>133</v>
      </c>
      <c r="E19" s="30">
        <v>1</v>
      </c>
      <c r="F19" s="30">
        <v>1</v>
      </c>
      <c r="G19" s="53">
        <v>2</v>
      </c>
      <c r="H19" s="1"/>
      <c r="I19" s="1"/>
    </row>
    <row r="20" ht="10" customHeight="1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ht="24" customHeight="1" spans="1:9" x14ac:dyDescent="0.25">
      <c r="A21" s="1"/>
      <c r="B21" s="5" t="s">
        <v>134</v>
      </c>
      <c r="C21" s="5"/>
      <c r="D21" s="5"/>
      <c r="E21" s="5"/>
      <c r="F21" s="5"/>
      <c r="G21" s="5"/>
      <c r="H21" s="1"/>
      <c r="I21" s="1"/>
    </row>
    <row r="22" ht="22" customHeight="1" spans="1:9" x14ac:dyDescent="0.25">
      <c r="A22" s="1"/>
      <c r="B22" s="18" t="s">
        <v>38</v>
      </c>
      <c r="C22" s="18" t="s">
        <v>39</v>
      </c>
      <c r="D22" s="18" t="s">
        <v>135</v>
      </c>
      <c r="E22" s="18" t="s">
        <v>136</v>
      </c>
      <c r="F22" s="1"/>
      <c r="G22" s="1"/>
      <c r="H22" s="1"/>
      <c r="I22" s="1"/>
    </row>
    <row r="23" ht="22" customHeight="1" spans="1:9" x14ac:dyDescent="0.25">
      <c r="A23" s="1"/>
      <c r="B23" s="40" t="s">
        <v>47</v>
      </c>
      <c r="C23" s="54" t="s">
        <v>48</v>
      </c>
      <c r="D23" s="55" t="s">
        <v>137</v>
      </c>
      <c r="E23" s="1"/>
      <c r="F23" s="56" t="s">
        <v>138</v>
      </c>
      <c r="G23" s="56"/>
      <c r="H23" s="1"/>
      <c r="I23" s="1"/>
    </row>
    <row r="24" ht="22" customHeight="1" spans="1:9" x14ac:dyDescent="0.25">
      <c r="A24" s="1"/>
      <c r="B24" s="40" t="s">
        <v>53</v>
      </c>
      <c r="C24" s="54" t="s">
        <v>54</v>
      </c>
      <c r="D24" s="55" t="s">
        <v>137</v>
      </c>
      <c r="E24" s="1"/>
      <c r="F24" s="56" t="s">
        <v>139</v>
      </c>
      <c r="G24" s="56"/>
      <c r="H24" s="1"/>
      <c r="I24" s="1"/>
    </row>
    <row r="25" ht="22" customHeight="1" spans="1:9" x14ac:dyDescent="0.25">
      <c r="A25" s="1"/>
      <c r="B25" s="40" t="s">
        <v>58</v>
      </c>
      <c r="C25" s="54" t="s">
        <v>59</v>
      </c>
      <c r="D25" s="55" t="s">
        <v>137</v>
      </c>
      <c r="E25" s="1"/>
      <c r="F25" s="56" t="s">
        <v>140</v>
      </c>
      <c r="G25" s="56"/>
      <c r="H25" s="1"/>
      <c r="I25" s="1"/>
    </row>
    <row r="26" ht="22" customHeight="1" spans="1:9" x14ac:dyDescent="0.25">
      <c r="A26" s="1"/>
      <c r="B26" s="40" t="s">
        <v>62</v>
      </c>
      <c r="C26" s="54" t="s">
        <v>63</v>
      </c>
      <c r="D26" s="55" t="s">
        <v>137</v>
      </c>
      <c r="E26" s="1"/>
      <c r="F26" s="56" t="s">
        <v>141</v>
      </c>
      <c r="G26" s="56"/>
      <c r="H26" s="1"/>
      <c r="I26" s="1"/>
    </row>
    <row r="27" ht="22" customHeight="1" spans="1:9" x14ac:dyDescent="0.25">
      <c r="A27" s="1"/>
      <c r="B27" s="40" t="s">
        <v>66</v>
      </c>
      <c r="C27" s="54" t="s">
        <v>67</v>
      </c>
      <c r="D27" s="55" t="s">
        <v>137</v>
      </c>
      <c r="E27" s="1"/>
      <c r="F27" s="56" t="s">
        <v>142</v>
      </c>
      <c r="G27" s="56"/>
      <c r="H27" s="1"/>
      <c r="I27" s="1"/>
    </row>
    <row r="28" ht="22" customHeight="1" spans="1:9" x14ac:dyDescent="0.25">
      <c r="A28" s="1"/>
      <c r="B28" s="40" t="s">
        <v>69</v>
      </c>
      <c r="C28" s="54" t="s">
        <v>70</v>
      </c>
      <c r="D28" s="55" t="s">
        <v>137</v>
      </c>
      <c r="E28" s="1"/>
      <c r="F28" s="56" t="s">
        <v>143</v>
      </c>
      <c r="G28" s="56"/>
      <c r="H28" s="1"/>
      <c r="I28" s="1"/>
    </row>
    <row r="29" ht="22" customHeight="1" spans="1:9" x14ac:dyDescent="0.25">
      <c r="A29" s="1"/>
      <c r="B29" s="28" t="s">
        <v>72</v>
      </c>
      <c r="C29" s="57" t="s">
        <v>73</v>
      </c>
      <c r="D29" s="58" t="s">
        <v>144</v>
      </c>
      <c r="E29" s="1"/>
      <c r="F29" s="59" t="s">
        <v>61</v>
      </c>
      <c r="G29" s="59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ht="24" customHeight="1" spans="1:9" x14ac:dyDescent="0.25">
      <c r="A31" s="1"/>
      <c r="B31" s="5" t="s">
        <v>145</v>
      </c>
      <c r="C31" s="5"/>
      <c r="D31" s="5"/>
      <c r="E31" s="5"/>
      <c r="F31" s="5"/>
      <c r="G31" s="5"/>
      <c r="H31" s="1"/>
      <c r="I31" s="1"/>
    </row>
    <row r="32" ht="22" customHeight="1" spans="1:9" x14ac:dyDescent="0.25">
      <c r="A32" s="1"/>
      <c r="B32" s="18" t="s">
        <v>38</v>
      </c>
      <c r="C32" s="18" t="s">
        <v>39</v>
      </c>
      <c r="D32" s="18" t="s">
        <v>135</v>
      </c>
      <c r="E32" s="18" t="s">
        <v>136</v>
      </c>
      <c r="F32" s="1"/>
      <c r="G32" s="1"/>
      <c r="H32" s="1"/>
      <c r="I32" s="1"/>
    </row>
    <row r="33" ht="22" customHeight="1" spans="1:9" x14ac:dyDescent="0.25">
      <c r="A33" s="1"/>
      <c r="B33" s="40" t="s">
        <v>50</v>
      </c>
      <c r="C33" s="54" t="s">
        <v>77</v>
      </c>
      <c r="D33" s="55" t="s">
        <v>137</v>
      </c>
      <c r="E33" s="1"/>
      <c r="F33" s="56" t="s">
        <v>146</v>
      </c>
      <c r="G33" s="56"/>
      <c r="H33" s="1"/>
      <c r="I33" s="1"/>
    </row>
    <row r="34" ht="22" customHeight="1" spans="1:9" x14ac:dyDescent="0.25">
      <c r="A34" s="1"/>
      <c r="B34" s="40" t="s">
        <v>51</v>
      </c>
      <c r="C34" s="54" t="s">
        <v>79</v>
      </c>
      <c r="D34" s="55" t="s">
        <v>137</v>
      </c>
      <c r="E34" s="1"/>
      <c r="F34" s="56" t="s">
        <v>147</v>
      </c>
      <c r="G34" s="56"/>
      <c r="H34" s="1"/>
      <c r="I34" s="1"/>
    </row>
    <row r="35" ht="22" customHeight="1" spans="1:9" x14ac:dyDescent="0.25">
      <c r="A35" s="1"/>
      <c r="B35" s="40" t="s">
        <v>52</v>
      </c>
      <c r="C35" s="54" t="s">
        <v>81</v>
      </c>
      <c r="D35" s="55" t="s">
        <v>137</v>
      </c>
      <c r="E35" s="1"/>
      <c r="F35" s="56" t="s">
        <v>148</v>
      </c>
      <c r="G35" s="56"/>
      <c r="H35" s="1"/>
      <c r="I35" s="1"/>
    </row>
    <row r="36" ht="22" customHeight="1" spans="1:9" x14ac:dyDescent="0.25">
      <c r="A36" s="1"/>
      <c r="B36" s="40" t="s">
        <v>56</v>
      </c>
      <c r="C36" s="54" t="s">
        <v>83</v>
      </c>
      <c r="D36" s="55" t="s">
        <v>137</v>
      </c>
      <c r="E36" s="1"/>
      <c r="F36" s="56" t="s">
        <v>149</v>
      </c>
      <c r="G36" s="56"/>
      <c r="H36" s="1"/>
      <c r="I36" s="1"/>
    </row>
    <row r="37" ht="22" customHeight="1" spans="1:9" x14ac:dyDescent="0.25">
      <c r="A37" s="1"/>
      <c r="B37" s="40" t="s">
        <v>57</v>
      </c>
      <c r="C37" s="54" t="s">
        <v>85</v>
      </c>
      <c r="D37" s="55" t="s">
        <v>137</v>
      </c>
      <c r="E37" s="1"/>
      <c r="F37" s="56" t="s">
        <v>150</v>
      </c>
      <c r="G37" s="56"/>
      <c r="H37" s="1"/>
      <c r="I37" s="1"/>
    </row>
    <row r="38" ht="22" customHeight="1" spans="1:9" x14ac:dyDescent="0.25">
      <c r="A38" s="1"/>
      <c r="B38" s="28" t="s">
        <v>61</v>
      </c>
      <c r="C38" s="57" t="s">
        <v>87</v>
      </c>
      <c r="D38" s="58" t="s">
        <v>144</v>
      </c>
      <c r="E38" s="1"/>
      <c r="F38" s="59" t="s">
        <v>72</v>
      </c>
      <c r="G38" s="59"/>
      <c r="H38" s="1"/>
      <c r="I38" s="1"/>
    </row>
    <row r="39" ht="22" customHeight="1" spans="1:9" x14ac:dyDescent="0.25">
      <c r="A39" s="1"/>
      <c r="B39" s="40" t="s">
        <v>65</v>
      </c>
      <c r="C39" s="54" t="s">
        <v>89</v>
      </c>
      <c r="D39" s="55" t="s">
        <v>137</v>
      </c>
      <c r="E39" s="1"/>
      <c r="F39" s="56" t="s">
        <v>151</v>
      </c>
      <c r="G39" s="56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ht="24" customHeight="1" spans="1:9" x14ac:dyDescent="0.25">
      <c r="A42" s="1"/>
      <c r="B42" s="5" t="s">
        <v>152</v>
      </c>
      <c r="C42" s="5"/>
      <c r="D42" s="5"/>
      <c r="E42" s="5"/>
      <c r="F42" s="5"/>
      <c r="G42" s="5"/>
      <c r="H42" s="1"/>
      <c r="I42" s="1"/>
    </row>
    <row r="43" ht="22" customHeight="1" spans="1:9" x14ac:dyDescent="0.25">
      <c r="A43" s="1"/>
      <c r="B43" s="60" t="s">
        <v>153</v>
      </c>
      <c r="C43" s="28" t="s">
        <v>154</v>
      </c>
      <c r="D43" s="28"/>
      <c r="E43" s="28"/>
      <c r="F43" s="28"/>
      <c r="G43" s="28"/>
      <c r="H43" s="1"/>
      <c r="I43" s="1"/>
    </row>
    <row r="44" ht="22" customHeight="1" spans="1:9" x14ac:dyDescent="0.25">
      <c r="A44" s="1"/>
      <c r="B44" s="60" t="s">
        <v>155</v>
      </c>
      <c r="C44" s="28" t="s">
        <v>154</v>
      </c>
      <c r="D44" s="28"/>
      <c r="E44" s="28"/>
      <c r="F44" s="28"/>
      <c r="G44" s="28"/>
      <c r="H44" s="1"/>
      <c r="I44" s="1"/>
    </row>
    <row r="45" ht="22" customHeight="1" spans="1:9" x14ac:dyDescent="0.25">
      <c r="A45" s="1"/>
      <c r="B45" s="60" t="s">
        <v>156</v>
      </c>
      <c r="C45" s="61" t="s">
        <v>157</v>
      </c>
      <c r="D45" s="61"/>
      <c r="E45" s="61"/>
      <c r="F45" s="61"/>
      <c r="G45" s="61"/>
      <c r="H45" s="1"/>
      <c r="I45" s="1"/>
    </row>
    <row r="46" ht="22" customHeight="1" spans="1:9" x14ac:dyDescent="0.25">
      <c r="A46" s="1"/>
      <c r="B46" s="60" t="s">
        <v>158</v>
      </c>
      <c r="C46" s="61" t="s">
        <v>159</v>
      </c>
      <c r="D46" s="61"/>
      <c r="E46" s="61"/>
      <c r="F46" s="61"/>
      <c r="G46" s="6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</sheetData>
  <mergeCells count="23">
    <mergeCell ref="B2:G2"/>
    <mergeCell ref="B5:G5"/>
    <mergeCell ref="B21:G21"/>
    <mergeCell ref="F23:G23"/>
    <mergeCell ref="F24:G24"/>
    <mergeCell ref="F25:G25"/>
    <mergeCell ref="F26:G26"/>
    <mergeCell ref="F27:G27"/>
    <mergeCell ref="F28:G28"/>
    <mergeCell ref="F29:G29"/>
    <mergeCell ref="B31:G31"/>
    <mergeCell ref="F33:G33"/>
    <mergeCell ref="F34:G34"/>
    <mergeCell ref="F35:G35"/>
    <mergeCell ref="F36:G36"/>
    <mergeCell ref="F37:G37"/>
    <mergeCell ref="F38:G38"/>
    <mergeCell ref="F39:G39"/>
    <mergeCell ref="B42:G42"/>
    <mergeCell ref="C43:G43"/>
    <mergeCell ref="C44:G44"/>
    <mergeCell ref="C45:G45"/>
    <mergeCell ref="C46:G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 showGridLines="0"/>
  </sheetViews>
  <sheetFormatPr defaultRowHeight="15" outlineLevelRow="0" outlineLevelCol="0" x14ac:dyDescent="55"/>
  <cols>
    <col min="1" max="1" width="3" customWidth="1"/>
    <col min="2" max="3" width="8" customWidth="1"/>
    <col min="4" max="4" width="10" customWidth="1"/>
    <col min="5" max="6" width="14" customWidth="1"/>
    <col min="7" max="7" width="12" customWidth="1"/>
    <col min="8" max="9" width="14" customWidth="1"/>
    <col min="10" max="10" width="16" customWidth="1"/>
    <col min="11" max="11" width="24" customWidth="1"/>
    <col min="12" max="12" width="3" customWidth="1"/>
  </cols>
  <sheetData>
    <row r="1" ht="12" customHeight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40" customHeight="1" spans="1:13" x14ac:dyDescent="0.25">
      <c r="A2" s="1"/>
      <c r="B2" s="62" t="s">
        <v>160</v>
      </c>
      <c r="C2" s="62"/>
      <c r="D2" s="62"/>
      <c r="E2" s="62"/>
      <c r="F2" s="62"/>
      <c r="G2" s="62"/>
      <c r="H2" s="62"/>
      <c r="I2" s="62"/>
      <c r="J2" s="62"/>
      <c r="K2" s="62"/>
      <c r="L2" s="1"/>
      <c r="M2" s="1"/>
    </row>
    <row r="3" ht="4" customHeight="1" spans="1:13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1"/>
      <c r="M3" s="1"/>
    </row>
    <row r="4" ht="8" customHeight="1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0" customHeight="1" spans="1:13" x14ac:dyDescent="0.25">
      <c r="A5" s="1"/>
      <c r="B5" s="16" t="s">
        <v>161</v>
      </c>
      <c r="C5" s="16"/>
      <c r="D5" s="16"/>
      <c r="E5" s="16"/>
      <c r="F5" s="16"/>
      <c r="G5" s="16"/>
      <c r="H5" s="16"/>
      <c r="I5" s="16"/>
      <c r="J5" s="16"/>
      <c r="K5" s="16"/>
      <c r="L5" s="1"/>
      <c r="M5" s="1"/>
    </row>
    <row r="6" ht="8" customHeight="1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ht="22" customHeight="1" spans="1:13" x14ac:dyDescent="0.25">
      <c r="A7" s="1"/>
      <c r="B7" s="63" t="s">
        <v>162</v>
      </c>
      <c r="C7" s="63" t="s">
        <v>163</v>
      </c>
      <c r="D7" s="63" t="s">
        <v>164</v>
      </c>
      <c r="E7" s="63" t="s">
        <v>126</v>
      </c>
      <c r="F7" s="63" t="s">
        <v>165</v>
      </c>
      <c r="G7" s="63" t="s">
        <v>166</v>
      </c>
      <c r="H7" s="63" t="s">
        <v>167</v>
      </c>
      <c r="I7" s="63" t="s">
        <v>168</v>
      </c>
      <c r="J7" s="63" t="s">
        <v>169</v>
      </c>
      <c r="K7" s="63" t="s">
        <v>170</v>
      </c>
      <c r="L7" s="1"/>
      <c r="M7" s="1"/>
    </row>
    <row r="8" ht="26" customHeight="1" spans="1:13" x14ac:dyDescent="0.25">
      <c r="A8" s="1"/>
      <c r="B8" s="20" t="s">
        <v>53</v>
      </c>
      <c r="C8" s="20" t="s">
        <v>50</v>
      </c>
      <c r="D8" s="64">
        <v>6</v>
      </c>
      <c r="E8" s="38" t="s">
        <v>127</v>
      </c>
      <c r="F8" s="32" t="s">
        <v>23</v>
      </c>
      <c r="G8" s="65" t="s">
        <v>171</v>
      </c>
      <c r="H8" s="65" t="s">
        <v>171</v>
      </c>
      <c r="I8" s="65" t="s">
        <v>171</v>
      </c>
      <c r="J8" s="66">
        <f>=IF(G8="NO","DECLINED BY OPERATOR",IF(AND(G8="YES",H8="YES",I8="YES"),"CONTACT SHARED",IF(AND(G8="YES",OR(H8="NO",I8="NO")),"ONE SIDE DECLINED",IF(G8="YES","PENDING CONSENT","MATCHED"))))</f>
      </c>
      <c r="K8" s="67" t="s">
        <v>171</v>
      </c>
      <c r="L8" s="1"/>
      <c r="M8" s="1"/>
    </row>
    <row r="9" ht="26" customHeight="1" spans="1:13" x14ac:dyDescent="0.25">
      <c r="A9" s="1"/>
      <c r="B9" s="20" t="s">
        <v>62</v>
      </c>
      <c r="C9" s="20" t="s">
        <v>52</v>
      </c>
      <c r="D9" s="64">
        <v>6</v>
      </c>
      <c r="E9" s="38" t="s">
        <v>127</v>
      </c>
      <c r="F9" s="32" t="s">
        <v>23</v>
      </c>
      <c r="G9" s="65" t="s">
        <v>171</v>
      </c>
      <c r="H9" s="65" t="s">
        <v>171</v>
      </c>
      <c r="I9" s="65" t="s">
        <v>171</v>
      </c>
      <c r="J9" s="66">
        <f>=IF(G9="NO","DECLINED BY OPERATOR",IF(AND(G9="YES",H9="YES",I9="YES"),"CONTACT SHARED",IF(AND(G9="YES",OR(H9="NO",I9="NO")),"ONE SIDE DECLINED",IF(G9="YES","PENDING CONSENT","MATCHED"))))</f>
      </c>
      <c r="K9" s="67" t="s">
        <v>171</v>
      </c>
      <c r="L9" s="1"/>
      <c r="M9" s="1"/>
    </row>
    <row r="10" ht="26" customHeight="1" spans="1:13" x14ac:dyDescent="0.25">
      <c r="A10" s="1"/>
      <c r="B10" s="20" t="s">
        <v>66</v>
      </c>
      <c r="C10" s="20" t="s">
        <v>56</v>
      </c>
      <c r="D10" s="64">
        <v>6</v>
      </c>
      <c r="E10" s="38" t="s">
        <v>127</v>
      </c>
      <c r="F10" s="32" t="s">
        <v>23</v>
      </c>
      <c r="G10" s="65" t="s">
        <v>171</v>
      </c>
      <c r="H10" s="65" t="s">
        <v>171</v>
      </c>
      <c r="I10" s="65" t="s">
        <v>171</v>
      </c>
      <c r="J10" s="66">
        <f>=IF(G10="NO","DECLINED BY OPERATOR",IF(AND(G10="YES",H10="YES",I10="YES"),"CONTACT SHARED",IF(AND(G10="YES",OR(H10="NO",I10="NO")),"ONE SIDE DECLINED",IF(G10="YES","PENDING CONSENT","MATCHED"))))</f>
      </c>
      <c r="K10" s="67" t="s">
        <v>171</v>
      </c>
      <c r="L10" s="1"/>
      <c r="M10" s="1"/>
    </row>
    <row r="11" ht="26" customHeight="1" spans="1:13" x14ac:dyDescent="0.25">
      <c r="A11" s="1"/>
      <c r="B11" s="20" t="s">
        <v>72</v>
      </c>
      <c r="C11" s="20" t="s">
        <v>61</v>
      </c>
      <c r="D11" s="64">
        <v>6</v>
      </c>
      <c r="E11" s="38" t="s">
        <v>127</v>
      </c>
      <c r="F11" s="32" t="s">
        <v>23</v>
      </c>
      <c r="G11" s="65" t="s">
        <v>171</v>
      </c>
      <c r="H11" s="65" t="s">
        <v>171</v>
      </c>
      <c r="I11" s="65" t="s">
        <v>171</v>
      </c>
      <c r="J11" s="66">
        <f>=IF(G11="NO","DECLINED BY OPERATOR",IF(AND(G11="YES",H11="YES",I11="YES"),"CONTACT SHARED",IF(AND(G11="YES",OR(H11="NO",I11="NO")),"ONE SIDE DECLINED",IF(G11="YES","PENDING CONSENT","MATCHED"))))</f>
      </c>
      <c r="K11" s="67" t="s">
        <v>171</v>
      </c>
      <c r="L11" s="1"/>
      <c r="M11" s="1"/>
    </row>
    <row r="12" ht="26" customHeight="1" spans="1:13" x14ac:dyDescent="0.25">
      <c r="A12" s="1"/>
      <c r="B12" s="20" t="s">
        <v>47</v>
      </c>
      <c r="C12" s="20" t="s">
        <v>50</v>
      </c>
      <c r="D12" s="64">
        <v>5</v>
      </c>
      <c r="E12" s="38" t="s">
        <v>128</v>
      </c>
      <c r="F12" s="32" t="s">
        <v>23</v>
      </c>
      <c r="G12" s="65" t="s">
        <v>171</v>
      </c>
      <c r="H12" s="65" t="s">
        <v>171</v>
      </c>
      <c r="I12" s="65" t="s">
        <v>171</v>
      </c>
      <c r="J12" s="66">
        <f>=IF(G12="NO","DECLINED BY OPERATOR",IF(AND(G12="YES",H12="YES",I12="YES"),"CONTACT SHARED",IF(AND(G12="YES",OR(H12="NO",I12="NO")),"ONE SIDE DECLINED",IF(G12="YES","PENDING CONSENT","MATCHED"))))</f>
      </c>
      <c r="K12" s="67" t="s">
        <v>171</v>
      </c>
      <c r="L12" s="1"/>
      <c r="M12" s="1"/>
    </row>
    <row r="13" ht="26" customHeight="1" spans="1:13" x14ac:dyDescent="0.25">
      <c r="A13" s="1"/>
      <c r="B13" s="20" t="s">
        <v>47</v>
      </c>
      <c r="C13" s="20" t="s">
        <v>51</v>
      </c>
      <c r="D13" s="64">
        <v>5</v>
      </c>
      <c r="E13" s="38" t="s">
        <v>129</v>
      </c>
      <c r="F13" s="32" t="s">
        <v>23</v>
      </c>
      <c r="G13" s="65" t="s">
        <v>171</v>
      </c>
      <c r="H13" s="65" t="s">
        <v>171</v>
      </c>
      <c r="I13" s="65" t="s">
        <v>171</v>
      </c>
      <c r="J13" s="66">
        <f>=IF(G13="NO","DECLINED BY OPERATOR",IF(AND(G13="YES",H13="YES",I13="YES"),"CONTACT SHARED",IF(AND(G13="YES",OR(H13="NO",I13="NO")),"ONE SIDE DECLINED",IF(G13="YES","PENDING CONSENT","MATCHED"))))</f>
      </c>
      <c r="K13" s="67" t="s">
        <v>171</v>
      </c>
      <c r="L13" s="1"/>
      <c r="M13" s="1"/>
    </row>
    <row r="14" ht="26" customHeight="1" spans="1:13" x14ac:dyDescent="0.25">
      <c r="A14" s="1"/>
      <c r="B14" s="20" t="s">
        <v>58</v>
      </c>
      <c r="C14" s="20" t="s">
        <v>51</v>
      </c>
      <c r="D14" s="64">
        <v>5</v>
      </c>
      <c r="E14" s="38" t="s">
        <v>128</v>
      </c>
      <c r="F14" s="32" t="s">
        <v>23</v>
      </c>
      <c r="G14" s="65" t="s">
        <v>171</v>
      </c>
      <c r="H14" s="65" t="s">
        <v>171</v>
      </c>
      <c r="I14" s="65" t="s">
        <v>171</v>
      </c>
      <c r="J14" s="66">
        <f>=IF(G14="NO","DECLINED BY OPERATOR",IF(AND(G14="YES",H14="YES",I14="YES"),"CONTACT SHARED",IF(AND(G14="YES",OR(H14="NO",I14="NO")),"ONE SIDE DECLINED",IF(G14="YES","PENDING CONSENT","MATCHED"))))</f>
      </c>
      <c r="K14" s="67" t="s">
        <v>171</v>
      </c>
      <c r="L14" s="1"/>
      <c r="M14" s="1"/>
    </row>
    <row r="15" ht="26" customHeight="1" spans="1:13" x14ac:dyDescent="0.25">
      <c r="A15" s="1"/>
      <c r="B15" s="20" t="s">
        <v>58</v>
      </c>
      <c r="C15" s="20" t="s">
        <v>57</v>
      </c>
      <c r="D15" s="64">
        <v>5</v>
      </c>
      <c r="E15" s="38" t="s">
        <v>129</v>
      </c>
      <c r="F15" s="32" t="s">
        <v>23</v>
      </c>
      <c r="G15" s="65" t="s">
        <v>171</v>
      </c>
      <c r="H15" s="65" t="s">
        <v>171</v>
      </c>
      <c r="I15" s="65" t="s">
        <v>171</v>
      </c>
      <c r="J15" s="66">
        <f>=IF(G15="NO","DECLINED BY OPERATOR",IF(AND(G15="YES",H15="YES",I15="YES"),"CONTACT SHARED",IF(AND(G15="YES",OR(H15="NO",I15="NO")),"ONE SIDE DECLINED",IF(G15="YES","PENDING CONSENT","MATCHED"))))</f>
      </c>
      <c r="K15" s="67" t="s">
        <v>171</v>
      </c>
      <c r="L15" s="1"/>
      <c r="M15" s="1"/>
    </row>
    <row r="16" ht="26" customHeight="1" spans="1:13" x14ac:dyDescent="0.25">
      <c r="A16" s="1"/>
      <c r="B16" s="20" t="s">
        <v>69</v>
      </c>
      <c r="C16" s="20" t="s">
        <v>57</v>
      </c>
      <c r="D16" s="64">
        <v>5</v>
      </c>
      <c r="E16" s="38" t="s">
        <v>128</v>
      </c>
      <c r="F16" s="32" t="s">
        <v>23</v>
      </c>
      <c r="G16" s="65" t="s">
        <v>171</v>
      </c>
      <c r="H16" s="65" t="s">
        <v>171</v>
      </c>
      <c r="I16" s="65" t="s">
        <v>171</v>
      </c>
      <c r="J16" s="66">
        <f>=IF(G16="NO","DECLINED BY OPERATOR",IF(AND(G16="YES",H16="YES",I16="YES"),"CONTACT SHARED",IF(AND(G16="YES",OR(H16="NO",I16="NO")),"ONE SIDE DECLINED",IF(G16="YES","PENDING CONSENT","MATCHED"))))</f>
      </c>
      <c r="K16" s="67" t="s">
        <v>171</v>
      </c>
      <c r="L16" s="1"/>
      <c r="M16" s="1"/>
    </row>
    <row r="17" ht="26" customHeight="1" spans="1:13" x14ac:dyDescent="0.25">
      <c r="A17" s="1"/>
      <c r="B17" s="20" t="s">
        <v>62</v>
      </c>
      <c r="C17" s="20" t="s">
        <v>65</v>
      </c>
      <c r="D17" s="64">
        <v>4</v>
      </c>
      <c r="E17" s="38" t="s">
        <v>130</v>
      </c>
      <c r="F17" s="32" t="s">
        <v>23</v>
      </c>
      <c r="G17" s="65" t="s">
        <v>171</v>
      </c>
      <c r="H17" s="65" t="s">
        <v>171</v>
      </c>
      <c r="I17" s="65" t="s">
        <v>171</v>
      </c>
      <c r="J17" s="66">
        <f>=IF(G17="NO","DECLINED BY OPERATOR",IF(AND(G17="YES",H17="YES",I17="YES"),"CONTACT SHARED",IF(AND(G17="YES",OR(H17="NO",I17="NO")),"ONE SIDE DECLINED",IF(G17="YES","PENDING CONSENT","MATCHED"))))</f>
      </c>
      <c r="K17" s="67" t="s">
        <v>171</v>
      </c>
      <c r="L17" s="1"/>
      <c r="M17" s="1"/>
    </row>
    <row r="18" ht="26" customHeight="1" spans="1:13" x14ac:dyDescent="0.25">
      <c r="A18" s="1"/>
      <c r="B18" s="20" t="s">
        <v>66</v>
      </c>
      <c r="C18" s="20" t="s">
        <v>65</v>
      </c>
      <c r="D18" s="64">
        <v>4</v>
      </c>
      <c r="E18" s="38" t="s">
        <v>131</v>
      </c>
      <c r="F18" s="32" t="s">
        <v>23</v>
      </c>
      <c r="G18" s="65" t="s">
        <v>171</v>
      </c>
      <c r="H18" s="65" t="s">
        <v>171</v>
      </c>
      <c r="I18" s="65" t="s">
        <v>171</v>
      </c>
      <c r="J18" s="66">
        <f>=IF(G18="NO","DECLINED BY OPERATOR",IF(AND(G18="YES",H18="YES",I18="YES"),"CONTACT SHARED",IF(AND(G18="YES",OR(H18="NO",I18="NO")),"ONE SIDE DECLINED",IF(G18="YES","PENDING CONSENT","MATCHED"))))</f>
      </c>
      <c r="K18" s="67" t="s">
        <v>171</v>
      </c>
      <c r="L18" s="1"/>
      <c r="M18" s="1"/>
    </row>
    <row r="19" ht="26" customHeight="1" spans="1:13" x14ac:dyDescent="0.25">
      <c r="A19" s="1"/>
      <c r="B19" s="20" t="s">
        <v>53</v>
      </c>
      <c r="C19" s="20" t="s">
        <v>56</v>
      </c>
      <c r="D19" s="64">
        <v>3</v>
      </c>
      <c r="E19" s="38" t="s">
        <v>132</v>
      </c>
      <c r="F19" s="32" t="s">
        <v>23</v>
      </c>
      <c r="G19" s="65" t="s">
        <v>171</v>
      </c>
      <c r="H19" s="65" t="s">
        <v>171</v>
      </c>
      <c r="I19" s="65" t="s">
        <v>171</v>
      </c>
      <c r="J19" s="66">
        <f>=IF(G19="NO","DECLINED BY OPERATOR",IF(AND(G19="YES",H19="YES",I19="YES"),"CONTACT SHARED",IF(AND(G19="YES",OR(H19="NO",I19="NO")),"ONE SIDE DECLINED",IF(G19="YES","PENDING CONSENT","MATCHED"))))</f>
      </c>
      <c r="K19" s="67" t="s">
        <v>171</v>
      </c>
      <c r="L19" s="1"/>
      <c r="M19" s="1"/>
    </row>
    <row r="20" ht="26" customHeight="1" spans="1:13" x14ac:dyDescent="0.25">
      <c r="A20" s="1"/>
      <c r="B20" s="20" t="s">
        <v>69</v>
      </c>
      <c r="C20" s="20" t="s">
        <v>52</v>
      </c>
      <c r="D20" s="64">
        <v>2</v>
      </c>
      <c r="E20" s="38" t="s">
        <v>133</v>
      </c>
      <c r="F20" s="32" t="s">
        <v>23</v>
      </c>
      <c r="G20" s="65" t="s">
        <v>171</v>
      </c>
      <c r="H20" s="65" t="s">
        <v>171</v>
      </c>
      <c r="I20" s="65" t="s">
        <v>171</v>
      </c>
      <c r="J20" s="66">
        <f>=IF(G20="NO","DECLINED BY OPERATOR",IF(AND(G20="YES",H20="YES",I20="YES"),"CONTACT SHARED",IF(AND(G20="YES",OR(H20="NO",I20="NO")),"ONE SIDE DECLINED",IF(G20="YES","PENDING CONSENT","MATCHED"))))</f>
      </c>
      <c r="K20" s="67" t="s">
        <v>171</v>
      </c>
      <c r="L20" s="1"/>
      <c r="M20" s="1"/>
    </row>
    <row r="21" ht="10" customHeight="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24" customHeight="1" spans="1:13" x14ac:dyDescent="0.25">
      <c r="A22" s="1"/>
      <c r="B22" s="5" t="s">
        <v>172</v>
      </c>
      <c r="C22" s="5"/>
      <c r="D22" s="5"/>
      <c r="E22" s="5"/>
      <c r="F22" s="5"/>
      <c r="G22" s="5"/>
      <c r="H22" s="5"/>
      <c r="I22" s="5"/>
      <c r="J22" s="5"/>
      <c r="K22" s="5"/>
      <c r="L22" s="1"/>
      <c r="M22" s="1"/>
    </row>
    <row r="23" ht="22" customHeight="1" spans="1:13" x14ac:dyDescent="0.25">
      <c r="A23" s="1"/>
      <c r="B23" s="60" t="s">
        <v>173</v>
      </c>
      <c r="C23" s="28" t="s">
        <v>157</v>
      </c>
      <c r="D23" s="28"/>
      <c r="E23" s="28"/>
      <c r="F23" s="1"/>
      <c r="G23" s="1"/>
      <c r="H23" s="1"/>
      <c r="I23" s="1"/>
      <c r="J23" s="1"/>
      <c r="K23" s="1"/>
      <c r="L23" s="1"/>
      <c r="M23" s="1"/>
    </row>
    <row r="24" ht="22" customHeight="1" spans="1:13" x14ac:dyDescent="0.25">
      <c r="A24" s="1"/>
      <c r="B24" s="60" t="s">
        <v>174</v>
      </c>
      <c r="C24" s="28">
        <f>=COUNTIF(G8:G20,"YES")</f>
      </c>
      <c r="D24" s="28"/>
      <c r="E24" s="28"/>
      <c r="F24" s="1"/>
      <c r="G24" s="1"/>
      <c r="H24" s="1"/>
      <c r="I24" s="1"/>
      <c r="J24" s="1"/>
      <c r="K24" s="1"/>
      <c r="L24" s="1"/>
      <c r="M24" s="1"/>
    </row>
    <row r="25" ht="22" customHeight="1" spans="1:13" x14ac:dyDescent="0.25">
      <c r="A25" s="1"/>
      <c r="B25" s="60" t="s">
        <v>175</v>
      </c>
      <c r="C25" s="28">
        <f>=COUNTIFS(H8:H20,"YES",I8:I20,"YES")</f>
      </c>
      <c r="D25" s="28"/>
      <c r="E25" s="28"/>
      <c r="F25" s="1"/>
      <c r="G25" s="1"/>
      <c r="H25" s="1"/>
      <c r="I25" s="1"/>
      <c r="J25" s="1"/>
      <c r="K25" s="1"/>
      <c r="L25" s="1"/>
      <c r="M25" s="1"/>
    </row>
    <row r="26" ht="22" customHeight="1" spans="1:13" x14ac:dyDescent="0.25">
      <c r="A26" s="1"/>
      <c r="B26" s="60" t="s">
        <v>176</v>
      </c>
      <c r="C26" s="28">
        <f>=COUNTIFS(G8:G20,"YES",OR(H8:H20="NO",I8:I20="NO"))</f>
      </c>
      <c r="D26" s="28"/>
      <c r="E26" s="28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24" customHeight="1" spans="1:13" x14ac:dyDescent="0.25">
      <c r="A28" s="1"/>
      <c r="B28" s="5" t="s">
        <v>177</v>
      </c>
      <c r="C28" s="5"/>
      <c r="D28" s="5"/>
      <c r="E28" s="5"/>
      <c r="F28" s="5"/>
      <c r="G28" s="5"/>
      <c r="H28" s="5"/>
      <c r="I28" s="5"/>
      <c r="J28" s="5"/>
      <c r="K28" s="5"/>
      <c r="L28" s="1"/>
      <c r="M28" s="1"/>
    </row>
    <row r="29" ht="22" customHeight="1" spans="1:13" x14ac:dyDescent="0.25">
      <c r="A29" s="1"/>
      <c r="B29" s="8" t="s">
        <v>178</v>
      </c>
      <c r="C29" s="8"/>
      <c r="D29" s="8"/>
      <c r="E29" s="8"/>
      <c r="F29" s="8"/>
      <c r="G29" s="8"/>
      <c r="H29" s="8"/>
      <c r="I29" s="8"/>
      <c r="J29" s="8"/>
      <c r="K29" s="8"/>
      <c r="L29" s="1"/>
      <c r="M29" s="1"/>
    </row>
    <row r="30" ht="22" customHeight="1" spans="1:13" x14ac:dyDescent="0.25">
      <c r="A30" s="1"/>
      <c r="B30" s="8" t="s">
        <v>179</v>
      </c>
      <c r="C30" s="8"/>
      <c r="D30" s="8"/>
      <c r="E30" s="8"/>
      <c r="F30" s="8"/>
      <c r="G30" s="8"/>
      <c r="H30" s="8"/>
      <c r="I30" s="8"/>
      <c r="J30" s="8"/>
      <c r="K30" s="8"/>
      <c r="L30" s="1"/>
      <c r="M30" s="1"/>
    </row>
    <row r="31" ht="22" customHeight="1" spans="1:13" x14ac:dyDescent="0.25">
      <c r="A31" s="1"/>
      <c r="B31" s="8" t="s">
        <v>180</v>
      </c>
      <c r="C31" s="8"/>
      <c r="D31" s="8"/>
      <c r="E31" s="8"/>
      <c r="F31" s="8"/>
      <c r="G31" s="8"/>
      <c r="H31" s="8"/>
      <c r="I31" s="8"/>
      <c r="J31" s="8"/>
      <c r="K31" s="8"/>
      <c r="L31" s="1"/>
      <c r="M31" s="1"/>
    </row>
    <row r="32" ht="22" customHeight="1" spans="1:13" x14ac:dyDescent="0.25">
      <c r="A32" s="1"/>
      <c r="B32" s="8" t="s">
        <v>181</v>
      </c>
      <c r="C32" s="8"/>
      <c r="D32" s="8"/>
      <c r="E32" s="8"/>
      <c r="F32" s="8"/>
      <c r="G32" s="8"/>
      <c r="H32" s="8"/>
      <c r="I32" s="8"/>
      <c r="J32" s="8"/>
      <c r="K32" s="8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</sheetData>
  <mergeCells count="12">
    <mergeCell ref="B2:K2"/>
    <mergeCell ref="B5:K5"/>
    <mergeCell ref="B22:K22"/>
    <mergeCell ref="C23:E23"/>
    <mergeCell ref="C24:E24"/>
    <mergeCell ref="C25:E25"/>
    <mergeCell ref="C26:E26"/>
    <mergeCell ref="B28:K28"/>
    <mergeCell ref="B29:K29"/>
    <mergeCell ref="B30:K30"/>
    <mergeCell ref="B31:K31"/>
    <mergeCell ref="B32:K32"/>
  </mergeCells>
  <dataValidations count="2">
    <dataValidation type="list" allowBlank="1" sqref="G10:I20">
      <formula1>"YES,NO"</formula1>
    </dataValidation>
    <dataValidation type="list" allowBlank="1" sqref="G8:I2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</vt:lpstr>
      <vt:lpstr>참가자입력</vt:lpstr>
      <vt:lpstr>상호선택</vt:lpstr>
      <vt:lpstr>매칭계산</vt:lpstr>
      <vt:lpstr>최종결과</vt:lpstr>
      <vt:lpstr>운영자최종검토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 CAREER SOCIETY</dc:creator>
  <dc:title/>
  <dc:subject/>
  <dc:description/>
  <cp:keywords/>
  <cp:category/>
  <cp:lastModifiedBy>Matching System</cp:lastModifiedBy>
  <dcterms:created xsi:type="dcterms:W3CDTF">2026-10-07T05:46:16Z</dcterms:created>
  <dcterms:modified xsi:type="dcterms:W3CDTF">2026-10-07T05:46:16Z</dcterms:modified>
</cp:coreProperties>
</file>